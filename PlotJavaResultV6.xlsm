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customXml/itemProps1.xml" ContentType="application/vnd.openxmlformats-officedocument.customXmlProperties+xml"/>
  <Override PartName="/xl/charts/chart2.xml" ContentType="application/vnd.openxmlformats-officedocument.drawingml.char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activeX/activeX2.xml" ContentType="application/vnd.ms-office.activeX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 defaultThemeVersion="124226"/>
  <bookViews>
    <workbookView xWindow="600" yWindow="690" windowWidth="20730" windowHeight="11760"/>
  </bookViews>
  <sheets>
    <sheet name="PlotResult" sheetId="1" r:id="rId1"/>
    <sheet name="PlotsSheetSystem" sheetId="2" r:id="rId2"/>
    <sheet name="RiskLevelOptions" sheetId="8" state="hidden" r:id="rId3"/>
    <sheet name="TempData" sheetId="11" state="hidden" r:id="rId4"/>
  </sheets>
  <functionGroups/>
  <externalReferences>
    <externalReference r:id="rId5"/>
  </externalReferences>
  <definedNames>
    <definedName name="_xlnm.Print_Area" localSheetId="0">PlotResult!$A$1:$N$52</definedName>
    <definedName name="RiskNumber">[1]RiskTable!$A$1:$A$19</definedName>
  </definedNames>
  <calcPr calcId="125725"/>
</workbook>
</file>

<file path=xl/calcChain.xml><?xml version="1.0" encoding="utf-8"?>
<calcChain xmlns="http://schemas.openxmlformats.org/spreadsheetml/2006/main">
  <c r="BZ31" i="2"/>
  <c r="BY31"/>
  <c r="BX31"/>
  <c r="BW31"/>
  <c r="BV31"/>
  <c r="BU31"/>
  <c r="BT31"/>
  <c r="BS31"/>
  <c r="BR31"/>
  <c r="BQ31"/>
  <c r="BP31"/>
  <c r="BO31"/>
  <c r="BN31"/>
  <c r="BM31"/>
  <c r="BL31"/>
  <c r="BK31"/>
  <c r="BJ31"/>
  <c r="BI31"/>
  <c r="BH31"/>
  <c r="BG31"/>
  <c r="BF31"/>
  <c r="BE31"/>
  <c r="BD31"/>
  <c r="BC31"/>
  <c r="BB31"/>
  <c r="BA31"/>
  <c r="AZ31"/>
  <c r="AY31"/>
  <c r="AX31"/>
  <c r="AW31"/>
  <c r="AV31"/>
  <c r="AU31"/>
  <c r="AT31"/>
  <c r="AS31"/>
  <c r="AR31"/>
  <c r="AQ31"/>
  <c r="AP31"/>
  <c r="AO31"/>
  <c r="AN31"/>
  <c r="AM31"/>
  <c r="AL31"/>
  <c r="AK31"/>
  <c r="AJ31"/>
  <c r="AI31"/>
  <c r="AH31"/>
  <c r="AG31"/>
  <c r="AF31"/>
  <c r="AE31"/>
  <c r="AD31"/>
  <c r="AC31"/>
  <c r="AB31"/>
  <c r="AA31"/>
  <c r="Z31"/>
  <c r="Y31"/>
  <c r="X31"/>
  <c r="W31"/>
  <c r="V31"/>
  <c r="U31"/>
  <c r="T31"/>
  <c r="S31"/>
  <c r="R31"/>
  <c r="Q31"/>
  <c r="P31"/>
  <c r="O31"/>
  <c r="N31"/>
  <c r="M31"/>
  <c r="L31"/>
  <c r="K31"/>
  <c r="J31"/>
  <c r="I31"/>
  <c r="H31"/>
  <c r="G31"/>
  <c r="F31"/>
  <c r="E31"/>
  <c r="D31"/>
  <c r="C31"/>
  <c r="B31"/>
  <c r="BZ30"/>
  <c r="BY30"/>
  <c r="BX30"/>
  <c r="BW30"/>
  <c r="BV30"/>
  <c r="BU30"/>
  <c r="BT30"/>
  <c r="BS30"/>
  <c r="BR30"/>
  <c r="BQ30"/>
  <c r="BP30"/>
  <c r="BO30"/>
  <c r="BN30"/>
  <c r="BM30"/>
  <c r="BL30"/>
  <c r="BK30"/>
  <c r="BJ30"/>
  <c r="BI30"/>
  <c r="BH30"/>
  <c r="BG30"/>
  <c r="BF30"/>
  <c r="BE30"/>
  <c r="BD30"/>
  <c r="BC30"/>
  <c r="BB30"/>
  <c r="BA30"/>
  <c r="AZ30"/>
  <c r="AY30"/>
  <c r="AX30"/>
  <c r="AW30"/>
  <c r="AV30"/>
  <c r="AU30"/>
  <c r="AT30"/>
  <c r="AS30"/>
  <c r="AR30"/>
  <c r="AQ30"/>
  <c r="AP30"/>
  <c r="AO30"/>
  <c r="AN30"/>
  <c r="AM30"/>
  <c r="AL30"/>
  <c r="AK30"/>
  <c r="AJ30"/>
  <c r="AI30"/>
  <c r="AH30"/>
  <c r="AG30"/>
  <c r="AF30"/>
  <c r="AE30"/>
  <c r="AD30"/>
  <c r="AC30"/>
  <c r="AB30"/>
  <c r="AA30"/>
  <c r="Z30"/>
  <c r="Y30"/>
  <c r="X30"/>
  <c r="W30"/>
  <c r="V30"/>
  <c r="U30"/>
  <c r="T30"/>
  <c r="S30"/>
  <c r="R30"/>
  <c r="Q30"/>
  <c r="P30"/>
  <c r="O30"/>
  <c r="N30"/>
  <c r="M30"/>
  <c r="L30"/>
  <c r="K30"/>
  <c r="J30"/>
  <c r="I30"/>
  <c r="H30"/>
  <c r="G30"/>
  <c r="F30"/>
  <c r="E30"/>
  <c r="D30"/>
  <c r="C30"/>
  <c r="B30"/>
  <c r="BZ29"/>
  <c r="BY29"/>
  <c r="BX29"/>
  <c r="BW29"/>
  <c r="BV29"/>
  <c r="BU29"/>
  <c r="BT29"/>
  <c r="BS29"/>
  <c r="BR29"/>
  <c r="BQ29"/>
  <c r="BP29"/>
  <c r="BO29"/>
  <c r="BN29"/>
  <c r="BM29"/>
  <c r="BL29"/>
  <c r="BK29"/>
  <c r="BJ29"/>
  <c r="BI29"/>
  <c r="BH29"/>
  <c r="BG29"/>
  <c r="BF29"/>
  <c r="BE29"/>
  <c r="BD29"/>
  <c r="BC29"/>
  <c r="BB29"/>
  <c r="BA29"/>
  <c r="AZ29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C29"/>
  <c r="B29"/>
  <c r="BZ28"/>
  <c r="BY28"/>
  <c r="BX28"/>
  <c r="BW28"/>
  <c r="BV28"/>
  <c r="BU28"/>
  <c r="BT28"/>
  <c r="BS28"/>
  <c r="BR28"/>
  <c r="BQ28"/>
  <c r="BP28"/>
  <c r="BO28"/>
  <c r="BN28"/>
  <c r="BM28"/>
  <c r="BL28"/>
  <c r="BK28"/>
  <c r="BJ28"/>
  <c r="BI28"/>
  <c r="BH28"/>
  <c r="BG28"/>
  <c r="BF28"/>
  <c r="BE28"/>
  <c r="BD28"/>
  <c r="BC28"/>
  <c r="BB28"/>
  <c r="BA28"/>
  <c r="AZ28"/>
  <c r="AY28"/>
  <c r="AX28"/>
  <c r="AW28"/>
  <c r="AV28"/>
  <c r="AU28"/>
  <c r="AT28"/>
  <c r="AS28"/>
  <c r="AR28"/>
  <c r="AQ28"/>
  <c r="AP28"/>
  <c r="AO28"/>
  <c r="AN28"/>
  <c r="AM28"/>
  <c r="AL28"/>
  <c r="AK28"/>
  <c r="AJ28"/>
  <c r="AI28"/>
  <c r="AH28"/>
  <c r="AG28"/>
  <c r="AF28"/>
  <c r="AE28"/>
  <c r="AD28"/>
  <c r="AC28"/>
  <c r="AB28"/>
  <c r="AA28"/>
  <c r="Z28"/>
  <c r="Y28"/>
  <c r="X28"/>
  <c r="W28"/>
  <c r="V28"/>
  <c r="U28"/>
  <c r="T28"/>
  <c r="S28"/>
  <c r="R28"/>
  <c r="Q28"/>
  <c r="P28"/>
  <c r="O28"/>
  <c r="N28"/>
  <c r="M28"/>
  <c r="L28"/>
  <c r="K28"/>
  <c r="J28"/>
  <c r="I28"/>
  <c r="H28"/>
  <c r="G28"/>
  <c r="F28"/>
  <c r="E28"/>
  <c r="D28"/>
  <c r="C28"/>
  <c r="B28"/>
  <c r="BZ27"/>
  <c r="BY27"/>
  <c r="BX27"/>
  <c r="BW27"/>
  <c r="BV27"/>
  <c r="BU27"/>
  <c r="BT27"/>
  <c r="BS27"/>
  <c r="BR27"/>
  <c r="BQ27"/>
  <c r="BP27"/>
  <c r="BO27"/>
  <c r="BN27"/>
  <c r="BM27"/>
  <c r="BL27"/>
  <c r="BK27"/>
  <c r="BJ27"/>
  <c r="BI27"/>
  <c r="BH27"/>
  <c r="BG27"/>
  <c r="BF27"/>
  <c r="BE27"/>
  <c r="BD27"/>
  <c r="BC27"/>
  <c r="BB27"/>
  <c r="BA27"/>
  <c r="AZ27"/>
  <c r="AY27"/>
  <c r="AX27"/>
  <c r="AW27"/>
  <c r="AV27"/>
  <c r="AU27"/>
  <c r="AT27"/>
  <c r="AS27"/>
  <c r="AR27"/>
  <c r="AQ27"/>
  <c r="AP27"/>
  <c r="AO27"/>
  <c r="AN27"/>
  <c r="AM27"/>
  <c r="AL27"/>
  <c r="AK27"/>
  <c r="AJ27"/>
  <c r="AI27"/>
  <c r="AH27"/>
  <c r="AG27"/>
  <c r="AF27"/>
  <c r="AE27"/>
  <c r="AD27"/>
  <c r="AC27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J27"/>
  <c r="I27"/>
  <c r="H27"/>
  <c r="G27"/>
  <c r="F27"/>
  <c r="E27"/>
  <c r="D27"/>
  <c r="C27"/>
  <c r="B27"/>
  <c r="BZ26"/>
  <c r="BY26"/>
  <c r="BX26"/>
  <c r="BW26"/>
  <c r="BV26"/>
  <c r="BU26"/>
  <c r="BT26"/>
  <c r="BS26"/>
  <c r="BR26"/>
  <c r="BQ26"/>
  <c r="BP26"/>
  <c r="BO26"/>
  <c r="BN26"/>
  <c r="BM26"/>
  <c r="BL26"/>
  <c r="BK26"/>
  <c r="BJ26"/>
  <c r="BI26"/>
  <c r="BH26"/>
  <c r="BG26"/>
  <c r="BF26"/>
  <c r="BE26"/>
  <c r="BD26"/>
  <c r="BC26"/>
  <c r="BB26"/>
  <c r="BA26"/>
  <c r="AZ26"/>
  <c r="AY26"/>
  <c r="AX26"/>
  <c r="AW26"/>
  <c r="AV26"/>
  <c r="AU26"/>
  <c r="AT26"/>
  <c r="AS26"/>
  <c r="AR26"/>
  <c r="AQ26"/>
  <c r="AP26"/>
  <c r="AO26"/>
  <c r="AN26"/>
  <c r="AM26"/>
  <c r="AL26"/>
  <c r="AK26"/>
  <c r="AJ26"/>
  <c r="AI26"/>
  <c r="AH26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BZ25"/>
  <c r="BY25"/>
  <c r="BX25"/>
  <c r="BW25"/>
  <c r="BV25"/>
  <c r="BU25"/>
  <c r="BT25"/>
  <c r="BS25"/>
  <c r="BR25"/>
  <c r="BQ25"/>
  <c r="BP25"/>
  <c r="BO25"/>
  <c r="BN25"/>
  <c r="BM25"/>
  <c r="BL25"/>
  <c r="BK25"/>
  <c r="BJ25"/>
  <c r="BI25"/>
  <c r="BH25"/>
  <c r="BG25"/>
  <c r="BF25"/>
  <c r="BE25"/>
  <c r="BD25"/>
  <c r="BC25"/>
  <c r="BB25"/>
  <c r="BA25"/>
  <c r="AZ25"/>
  <c r="AY25"/>
  <c r="AX25"/>
  <c r="AW25"/>
  <c r="AV25"/>
  <c r="AU25"/>
  <c r="AT25"/>
  <c r="AS25"/>
  <c r="AR25"/>
  <c r="AQ25"/>
  <c r="AP25"/>
  <c r="AO25"/>
  <c r="AN25"/>
  <c r="AM25"/>
  <c r="AL25"/>
  <c r="AK25"/>
  <c r="AJ25"/>
  <c r="AI25"/>
  <c r="AH25"/>
  <c r="AG25"/>
  <c r="AF25"/>
  <c r="AE25"/>
  <c r="AD25"/>
  <c r="AC25"/>
  <c r="AB25"/>
  <c r="AA25"/>
  <c r="Z25"/>
  <c r="Y25"/>
  <c r="X25"/>
  <c r="W25"/>
  <c r="V25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</calcChain>
</file>

<file path=xl/sharedStrings.xml><?xml version="1.0" encoding="utf-8"?>
<sst xmlns="http://schemas.openxmlformats.org/spreadsheetml/2006/main" count="88" uniqueCount="70">
  <si>
    <t xml:space="preserve">  </t>
  </si>
  <si>
    <t>Part Number</t>
  </si>
  <si>
    <t>Serial Number</t>
  </si>
  <si>
    <t>Last Job No</t>
  </si>
  <si>
    <t>Cumulative Temperature C</t>
  </si>
  <si>
    <t>Cumulative Lateral (g_RMS)</t>
  </si>
  <si>
    <t xml:space="preserve">DrillHrs [h] </t>
  </si>
  <si>
    <t>Worst Case Life</t>
  </si>
  <si>
    <t>25Q</t>
  </si>
  <si>
    <t>Predicted Mean Life</t>
  </si>
  <si>
    <t>75Q</t>
  </si>
  <si>
    <t>Best Case Life</t>
  </si>
  <si>
    <t>Risk</t>
  </si>
  <si>
    <t>Part Description</t>
  </si>
  <si>
    <t>Comments</t>
  </si>
  <si>
    <t>SN</t>
  </si>
  <si>
    <t>Worst_Case_Life</t>
  </si>
  <si>
    <t>Predicted_Mean_Life</t>
  </si>
  <si>
    <t>Best_Case_Life</t>
  </si>
  <si>
    <t>Cumulative StickSlip (g_RMS)</t>
  </si>
  <si>
    <t>Bottom</t>
  </si>
  <si>
    <t>2Q Box</t>
  </si>
  <si>
    <t>3Q Box</t>
  </si>
  <si>
    <t>Whisker-</t>
  </si>
  <si>
    <t>Whisker+</t>
  </si>
  <si>
    <t>RemainingLife</t>
  </si>
  <si>
    <t>Acceptable Risk Level (%)</t>
  </si>
  <si>
    <t>StickSlip</t>
  </si>
  <si>
    <t>Lateral</t>
  </si>
  <si>
    <t xml:space="preserve">Temperature </t>
  </si>
  <si>
    <t>Results Interpretation Key</t>
  </si>
  <si>
    <t>Uncertainty in prediction due to missing data greater than 30%</t>
  </si>
  <si>
    <t>NA: Not enough failure data to build model</t>
  </si>
  <si>
    <t>Low Risk: 0.0 - 0.375</t>
  </si>
  <si>
    <t>Medium Risk: 0.375 - 0.75</t>
  </si>
  <si>
    <t>High Risk: &gt; 0.75</t>
  </si>
  <si>
    <t>Cumulative StickSlip</t>
  </si>
  <si>
    <t>Cumulative Average Lateral
(g_RMS)</t>
  </si>
  <si>
    <t>Cumulative Average Temperature 
(°C)</t>
  </si>
  <si>
    <t>N919103047</t>
  </si>
  <si>
    <t>PCBA,PWR-B,6.75ATK2(R/B 10364200)</t>
  </si>
  <si>
    <t>N919103046</t>
  </si>
  <si>
    <t>PCBA,PWR-A,6.75ATK2(R/B 10363873)</t>
  </si>
  <si>
    <t>0.32 (L1)</t>
  </si>
  <si>
    <t>0.36 (L1)</t>
  </si>
  <si>
    <t>1.27 (L2)</t>
  </si>
  <si>
    <t>E:\Bala\Rahul\xls</t>
  </si>
  <si>
    <t>PCBA,SECONDARY-IT-CTL,6.75LBRSS</t>
  </si>
  <si>
    <t>PCBA,TOOLFACE GAMMA,4.75ATK3</t>
  </si>
  <si>
    <t>PCBA,PM-PWR-RE,175C,BCPM(R/B 10364085)</t>
  </si>
  <si>
    <t>(1) Missing Data For 3 Runs..(9%)</t>
  </si>
  <si>
    <t>Version: ELP_V4_4</t>
  </si>
  <si>
    <t>Analysis Date: 31-Jul-17</t>
  </si>
  <si>
    <t>57.04 (L0)</t>
  </si>
  <si>
    <t>0.27 (L1)</t>
  </si>
  <si>
    <t>1.72 (L2)</t>
  </si>
  <si>
    <t>72.75 (L0)</t>
  </si>
  <si>
    <t>1.22 (L2)</t>
  </si>
  <si>
    <t>121.79 (L1)</t>
  </si>
  <si>
    <t>0.11 (L0)</t>
  </si>
  <si>
    <t>1.12 (L2)</t>
  </si>
  <si>
    <t>89.3 (L1)</t>
  </si>
  <si>
    <t>0.3 (L1)</t>
  </si>
  <si>
    <t>1.65 (L2)</t>
  </si>
  <si>
    <t>81.71 (L0)</t>
  </si>
  <si>
    <t>67.33 (L0)</t>
  </si>
  <si>
    <t>0.38 (L1)</t>
  </si>
  <si>
    <t>1.34 (L2)</t>
  </si>
  <si>
    <t>58.09 (L0)</t>
  </si>
  <si>
    <t>1.16 (L2)</t>
  </si>
</sst>
</file>

<file path=xl/styles.xml><?xml version="1.0" encoding="utf-8"?>
<styleSheet xmlns="http://schemas.openxmlformats.org/spreadsheetml/2006/main">
  <numFmts count="2">
    <numFmt numFmtId="164" formatCode="0.0"/>
    <numFmt numFmtId="165" formatCode="0.0000"/>
  </numFmts>
  <fonts count="6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B5CDFD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46">
    <xf numFmtId="0" fontId="0" fillId="0" borderId="0" xfId="0"/>
    <xf numFmtId="0" fontId="1" fillId="0" borderId="0" xfId="0" applyFont="1" applyFill="1"/>
    <xf numFmtId="0" fontId="0" fillId="0" borderId="0" xfId="0" applyFill="1"/>
    <xf numFmtId="49" fontId="2" fillId="0" borderId="1" xfId="1" applyNumberFormat="1" applyFont="1" applyFill="1" applyBorder="1" applyAlignment="1">
      <alignment horizontal="center" wrapText="1"/>
    </xf>
    <xf numFmtId="0" fontId="2" fillId="0" borderId="1" xfId="1" applyFont="1" applyFill="1" applyBorder="1" applyAlignment="1">
      <alignment horizontal="center" wrapText="1"/>
    </xf>
    <xf numFmtId="49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1" fillId="0" borderId="0" xfId="1"/>
    <xf numFmtId="0" fontId="1" fillId="0" borderId="0" xfId="1" applyFont="1"/>
    <xf numFmtId="164" fontId="2" fillId="0" borderId="1" xfId="1" applyNumberFormat="1" applyFont="1" applyBorder="1" applyAlignment="1">
      <alignment horizontal="center" vertical="center" wrapText="1"/>
    </xf>
    <xf numFmtId="164" fontId="2" fillId="0" borderId="1" xfId="1" applyNumberFormat="1" applyFont="1" applyFill="1" applyBorder="1" applyAlignment="1">
      <alignment horizontal="center" vertical="center" wrapText="1"/>
    </xf>
    <xf numFmtId="0" fontId="3" fillId="0" borderId="1" xfId="1" applyNumberFormat="1" applyFont="1" applyFill="1" applyBorder="1" applyAlignment="1">
      <alignment horizontal="center"/>
    </xf>
    <xf numFmtId="164" fontId="3" fillId="0" borderId="1" xfId="1" applyNumberFormat="1" applyFont="1" applyFill="1" applyBorder="1" applyAlignment="1">
      <alignment horizontal="center"/>
    </xf>
    <xf numFmtId="165" fontId="1" fillId="0" borderId="1" xfId="1" applyNumberFormat="1" applyBorder="1"/>
    <xf numFmtId="165" fontId="1" fillId="0" borderId="0" xfId="1" applyNumberFormat="1"/>
    <xf numFmtId="49" fontId="1" fillId="0" borderId="1" xfId="1" applyNumberFormat="1" applyBorder="1"/>
    <xf numFmtId="49" fontId="0" fillId="0" borderId="0" xfId="0" applyNumberFormat="1"/>
    <xf numFmtId="164" fontId="1" fillId="0" borderId="1" xfId="1" applyNumberFormat="1" applyBorder="1"/>
    <xf numFmtId="0" fontId="1" fillId="0" borderId="1" xfId="1" applyBorder="1"/>
    <xf numFmtId="164" fontId="1" fillId="0" borderId="1" xfId="1" applyNumberFormat="1" applyFont="1" applyBorder="1"/>
    <xf numFmtId="164" fontId="1" fillId="0" borderId="0" xfId="1" applyNumberFormat="1" applyFont="1"/>
    <xf numFmtId="49" fontId="2" fillId="0" borderId="1" xfId="1" applyNumberFormat="1" applyFont="1" applyBorder="1" applyAlignment="1">
      <alignment horizontal="center" wrapText="1"/>
    </xf>
    <xf numFmtId="0" fontId="2" fillId="0" borderId="1" xfId="1" applyFont="1" applyBorder="1" applyAlignment="1">
      <alignment horizontal="center" wrapText="1"/>
    </xf>
    <xf numFmtId="0" fontId="2" fillId="0" borderId="2" xfId="1" applyFont="1" applyBorder="1" applyAlignment="1">
      <alignment horizontal="center" wrapText="1"/>
    </xf>
    <xf numFmtId="0" fontId="1" fillId="3" borderId="0" xfId="1" applyFill="1"/>
    <xf numFmtId="0" fontId="0" fillId="0" borderId="2" xfId="0" applyBorder="1"/>
    <xf numFmtId="0" fontId="1" fillId="0" borderId="3" xfId="1" applyBorder="1"/>
    <xf numFmtId="49" fontId="1" fillId="0" borderId="3" xfId="1" applyNumberFormat="1" applyBorder="1"/>
    <xf numFmtId="49" fontId="1" fillId="0" borderId="0" xfId="1" applyNumberFormat="1"/>
    <xf numFmtId="1" fontId="0" fillId="0" borderId="0" xfId="0" applyNumberFormat="1" applyFill="1"/>
    <xf numFmtId="0" fontId="5" fillId="2" borderId="7" xfId="0" applyFont="1" applyFill="1" applyBorder="1" applyAlignment="1">
      <alignment vertical="center" wrapText="1"/>
    </xf>
    <xf numFmtId="0" fontId="5" fillId="5" borderId="7" xfId="0" applyFont="1" applyFill="1" applyBorder="1" applyAlignment="1">
      <alignment vertical="center" wrapText="1"/>
    </xf>
    <xf numFmtId="0" fontId="5" fillId="3" borderId="7" xfId="0" applyFont="1" applyFill="1" applyBorder="1" applyAlignment="1">
      <alignment vertical="center" wrapText="1"/>
    </xf>
    <xf numFmtId="0" fontId="5" fillId="6" borderId="7" xfId="0" applyFont="1" applyFill="1" applyBorder="1" applyAlignment="1">
      <alignment vertical="center" wrapText="1"/>
    </xf>
    <xf numFmtId="0" fontId="0" fillId="0" borderId="0" xfId="0" applyFill="1" applyAlignment="1">
      <alignment wrapText="1"/>
    </xf>
    <xf numFmtId="0" fontId="2" fillId="4" borderId="4" xfId="1" applyFont="1" applyFill="1" applyBorder="1" applyAlignment="1">
      <alignment horizontal="center" vertical="center" wrapText="1"/>
    </xf>
    <xf numFmtId="0" fontId="1" fillId="4" borderId="4" xfId="1" applyFill="1" applyBorder="1" applyAlignment="1">
      <alignment horizontal="center" vertical="center" wrapText="1"/>
    </xf>
    <xf numFmtId="0" fontId="4" fillId="0" borderId="6" xfId="0" applyFont="1" applyFill="1" applyBorder="1" applyAlignment="1">
      <alignment wrapText="1"/>
    </xf>
    <xf numFmtId="0" fontId="0" fillId="7" borderId="5" xfId="0" applyFill="1" applyBorder="1" applyAlignment="1">
      <alignment wrapText="1"/>
    </xf>
    <xf numFmtId="0" fontId="0" fillId="0" borderId="1" xfId="0" applyBorder="1" applyAlignment="1">
      <alignment wrapText="1"/>
    </xf>
    <xf numFmtId="0" fontId="4" fillId="0" borderId="1" xfId="0" applyFont="1" applyFill="1" applyBorder="1"/>
    <xf numFmtId="2" fontId="0" fillId="5" borderId="1" xfId="0" applyNumberFormat="1" applyFill="1" applyBorder="1" applyAlignment="1">
      <alignment horizontal="center"/>
    </xf>
    <xf numFmtId="2" fontId="0" fillId="3" borderId="1" xfId="0" applyNumberFormat="1" applyFill="1" applyBorder="1" applyAlignment="1">
      <alignment horizontal="center"/>
    </xf>
    <xf numFmtId="2" fontId="0" fillId="2" borderId="1" xfId="0" applyNumberFormat="1" applyFill="1" applyBorder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colors>
    <mruColors>
      <color rgb="FFB5CDFD"/>
      <color rgb="FFADC8FD"/>
      <color rgb="FFABABFF"/>
      <color rgb="FF9F9FFF"/>
      <color rgb="FF0000FF"/>
      <color rgb="FF97BA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32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Predicted Life of  Sub Components 12569898</a:t>
            </a:r>
          </a:p>
        </c:rich>
      </c:tx>
      <c:layout>
        <c:manualLayout>
          <c:xMode val="edge"/>
          <c:yMode val="edge"/>
          <c:x val="0.16607797652244441"/>
          <c:y val="1.3238922297761381E-3"/>
        </c:manualLayout>
      </c:layout>
    </c:title>
    <c:plotArea>
      <c:layout>
        <c:manualLayout>
          <c:layoutTarget val="inner"/>
          <c:xMode val="edge"/>
          <c:yMode val="edge"/>
          <c:x val="0.11699158137539489"/>
          <c:y val="7.8711611925044028E-2"/>
          <c:w val="0.86929162631289847"/>
          <c:h val="0.63287361886093063"/>
        </c:manualLayout>
      </c:layout>
      <c:barChart>
        <c:barDir val="col"/>
        <c:grouping val="stacked"/>
        <c:ser>
          <c:idx val="0"/>
          <c:order val="0"/>
          <c:tx>
            <c:v>Bottom</c:v>
          </c:tx>
          <c:spPr>
            <a:noFill/>
            <a:ln>
              <a:noFill/>
            </a:ln>
          </c:spPr>
          <c:errBars>
            <c:errBarType val="minus"/>
            <c:errValType val="cust"/>
            <c:minus>
              <c:numRef>
                <c:f>PlotsSheetSystem!$B$28:$BZ$28</c:f>
                <c:numCache>
                  <c:formatCode>General</c:formatCode>
                  <c:ptCount val="73"/>
                  <c:pt idx="0">
                    <c:v>25.983000000000004</c:v>
                  </c:pt>
                  <c:pt idx="1">
                    <c:v>40.515000000000043</c:v>
                  </c:pt>
                  <c:pt idx="2">
                    <c:v>112.38699999999997</c:v>
                  </c:pt>
                  <c:pt idx="3">
                    <c:v>114.23699999999997</c:v>
                  </c:pt>
                  <c:pt idx="4">
                    <c:v>10.050000000000011</c:v>
                  </c:pt>
                  <c:pt idx="5">
                    <c:v>34.652000000000015</c:v>
                  </c:pt>
                  <c:pt idx="6">
                    <c:v>147.61699999999996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</c:numCache>
              </c:numRef>
            </c:minus>
          </c:errBars>
          <c:cat>
            <c:numRef>
              <c:f>PlotsSheetSystem!$B$13:$H$13</c:f>
              <c:numCache>
                <c:formatCode>@</c:formatCode>
                <c:ptCount val="7"/>
                <c:pt idx="0">
                  <c:v>12102208</c:v>
                </c:pt>
                <c:pt idx="1">
                  <c:v>12965138</c:v>
                </c:pt>
                <c:pt idx="2">
                  <c:v>14186895</c:v>
                </c:pt>
                <c:pt idx="3">
                  <c:v>13509491</c:v>
                </c:pt>
                <c:pt idx="4">
                  <c:v>13671644</c:v>
                </c:pt>
                <c:pt idx="5">
                  <c:v>13551136</c:v>
                </c:pt>
                <c:pt idx="6">
                  <c:v>12569898</c:v>
                </c:pt>
              </c:numCache>
            </c:numRef>
          </c:cat>
          <c:val>
            <c:numRef>
              <c:f>PlotsSheetSystem!$B$25:$H$25</c:f>
              <c:numCache>
                <c:formatCode>General</c:formatCode>
                <c:ptCount val="7"/>
                <c:pt idx="0">
                  <c:v>198.703</c:v>
                </c:pt>
                <c:pt idx="1">
                  <c:v>388.43900000000002</c:v>
                </c:pt>
                <c:pt idx="2">
                  <c:v>272.02499999999998</c:v>
                </c:pt>
                <c:pt idx="3">
                  <c:v>436.33699999999999</c:v>
                </c:pt>
                <c:pt idx="4">
                  <c:v>169.90100000000001</c:v>
                </c:pt>
                <c:pt idx="5">
                  <c:v>262.298</c:v>
                </c:pt>
                <c:pt idx="6">
                  <c:v>790.39400000000001</c:v>
                </c:pt>
              </c:numCache>
            </c:numRef>
          </c:val>
        </c:ser>
        <c:ser>
          <c:idx val="1"/>
          <c:order val="1"/>
          <c:tx>
            <c:strRef>
              <c:f>PlotsSheetSystem!$A$26</c:f>
              <c:strCache>
                <c:ptCount val="1"/>
                <c:pt idx="0">
                  <c:v>2Q Box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PlotsSheetSystem!$B$13:$BZ$13</c:f>
              <c:numCache>
                <c:formatCode>@</c:formatCode>
                <c:ptCount val="73"/>
                <c:pt idx="0">
                  <c:v>12102208</c:v>
                </c:pt>
                <c:pt idx="1">
                  <c:v>12965138</c:v>
                </c:pt>
                <c:pt idx="2">
                  <c:v>14186895</c:v>
                </c:pt>
                <c:pt idx="3">
                  <c:v>13509491</c:v>
                </c:pt>
                <c:pt idx="4">
                  <c:v>13671644</c:v>
                </c:pt>
                <c:pt idx="5">
                  <c:v>13551136</c:v>
                </c:pt>
                <c:pt idx="6">
                  <c:v>12569898</c:v>
                </c:pt>
              </c:numCache>
            </c:numRef>
          </c:cat>
          <c:val>
            <c:numRef>
              <c:f>PlotsSheetSystem!$B$26:$H$26</c:f>
              <c:numCache>
                <c:formatCode>General</c:formatCode>
                <c:ptCount val="7"/>
                <c:pt idx="0">
                  <c:v>132.85</c:v>
                </c:pt>
                <c:pt idx="1">
                  <c:v>215.09099999999995</c:v>
                </c:pt>
                <c:pt idx="2">
                  <c:v>107.53800000000001</c:v>
                </c:pt>
                <c:pt idx="3">
                  <c:v>269.71699999999998</c:v>
                </c:pt>
                <c:pt idx="4">
                  <c:v>10.254999999999995</c:v>
                </c:pt>
                <c:pt idx="5">
                  <c:v>36.091000000000008</c:v>
                </c:pt>
                <c:pt idx="6">
                  <c:v>156.34699999999998</c:v>
                </c:pt>
              </c:numCache>
            </c:numRef>
          </c:val>
        </c:ser>
        <c:ser>
          <c:idx val="2"/>
          <c:order val="2"/>
          <c:tx>
            <c:strRef>
              <c:f>PlotsSheetSystem!$A$27</c:f>
              <c:strCache>
                <c:ptCount val="1"/>
                <c:pt idx="0">
                  <c:v>3Q Box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tx1"/>
              </a:solidFill>
            </a:ln>
          </c:spPr>
          <c:errBars>
            <c:errBarType val="plus"/>
            <c:errValType val="cust"/>
            <c:plus>
              <c:numRef>
                <c:f>PlotsSheetSystem!$B$29:$BZ$29</c:f>
                <c:numCache>
                  <c:formatCode>General</c:formatCode>
                  <c:ptCount val="73"/>
                  <c:pt idx="0">
                    <c:v>1552.298</c:v>
                  </c:pt>
                  <c:pt idx="1">
                    <c:v>1208.8690000000001</c:v>
                  </c:pt>
                  <c:pt idx="2">
                    <c:v>1390.8100000000002</c:v>
                  </c:pt>
                  <c:pt idx="3">
                    <c:v>1329.057</c:v>
                  </c:pt>
                  <c:pt idx="4">
                    <c:v>258.94399999999996</c:v>
                  </c:pt>
                  <c:pt idx="5">
                    <c:v>205.29399999999998</c:v>
                  </c:pt>
                  <c:pt idx="6">
                    <c:v>826.91099999999983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</c:numCache>
              </c:numRef>
            </c:plus>
            <c:minus>
              <c:numLit>
                <c:formatCode>General</c:formatCode>
                <c:ptCount val="1"/>
                <c:pt idx="0">
                  <c:v>1</c:v>
                </c:pt>
              </c:numLit>
            </c:minus>
          </c:errBars>
          <c:cat>
            <c:numRef>
              <c:f>PlotsSheetSystem!$B$13:$BZ$13</c:f>
              <c:numCache>
                <c:formatCode>@</c:formatCode>
                <c:ptCount val="73"/>
                <c:pt idx="0">
                  <c:v>12102208</c:v>
                </c:pt>
                <c:pt idx="1">
                  <c:v>12965138</c:v>
                </c:pt>
                <c:pt idx="2">
                  <c:v>14186895</c:v>
                </c:pt>
                <c:pt idx="3">
                  <c:v>13509491</c:v>
                </c:pt>
                <c:pt idx="4">
                  <c:v>13671644</c:v>
                </c:pt>
                <c:pt idx="5">
                  <c:v>13551136</c:v>
                </c:pt>
                <c:pt idx="6">
                  <c:v>12569898</c:v>
                </c:pt>
              </c:numCache>
            </c:numRef>
          </c:cat>
          <c:val>
            <c:numRef>
              <c:f>PlotsSheetSystem!$B$27:$H$27</c:f>
              <c:numCache>
                <c:formatCode>General</c:formatCode>
                <c:ptCount val="7"/>
                <c:pt idx="0">
                  <c:v>35.476999999999975</c:v>
                </c:pt>
                <c:pt idx="1">
                  <c:v>47.408999999999992</c:v>
                </c:pt>
                <c:pt idx="2">
                  <c:v>109.459</c:v>
                </c:pt>
                <c:pt idx="3">
                  <c:v>154.447</c:v>
                </c:pt>
                <c:pt idx="4">
                  <c:v>16.328000000000003</c:v>
                </c:pt>
                <c:pt idx="5">
                  <c:v>36.581000000000017</c:v>
                </c:pt>
                <c:pt idx="6">
                  <c:v>279.50600000000009</c:v>
                </c:pt>
              </c:numCache>
            </c:numRef>
          </c:val>
        </c:ser>
        <c:gapWidth val="55"/>
        <c:overlap val="100"/>
        <c:axId val="88469504"/>
        <c:axId val="88471424"/>
      </c:barChart>
      <c:lineChart>
        <c:grouping val="standard"/>
        <c:ser>
          <c:idx val="3"/>
          <c:order val="3"/>
          <c:tx>
            <c:strRef>
              <c:f>PlotsSheetSystem!$A$17</c:f>
              <c:strCache>
                <c:ptCount val="1"/>
                <c:pt idx="0">
                  <c:v>DrillHrs [h] 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7"/>
          </c:marker>
          <c:cat>
            <c:numRef>
              <c:f>PlotsSheetSystem!$B$13:$G$13</c:f>
              <c:numCache>
                <c:formatCode>@</c:formatCode>
                <c:ptCount val="6"/>
                <c:pt idx="0">
                  <c:v>12102208</c:v>
                </c:pt>
                <c:pt idx="1">
                  <c:v>12965138</c:v>
                </c:pt>
                <c:pt idx="2">
                  <c:v>14186895</c:v>
                </c:pt>
                <c:pt idx="3">
                  <c:v>13509491</c:v>
                </c:pt>
                <c:pt idx="4">
                  <c:v>13671644</c:v>
                </c:pt>
                <c:pt idx="5">
                  <c:v>13551136</c:v>
                </c:pt>
              </c:numCache>
            </c:numRef>
          </c:cat>
          <c:val>
            <c:numRef>
              <c:f>PlotsSheetSystem!$B$17:$H$17</c:f>
              <c:numCache>
                <c:formatCode>General</c:formatCode>
                <c:ptCount val="7"/>
                <c:pt idx="0">
                  <c:v>43.1</c:v>
                </c:pt>
                <c:pt idx="1">
                  <c:v>284.39999999999998</c:v>
                </c:pt>
                <c:pt idx="2">
                  <c:v>100.8</c:v>
                </c:pt>
                <c:pt idx="3">
                  <c:v>352.5</c:v>
                </c:pt>
                <c:pt idx="4">
                  <c:v>320.5</c:v>
                </c:pt>
                <c:pt idx="5">
                  <c:v>366.8</c:v>
                </c:pt>
                <c:pt idx="6">
                  <c:v>1027.3</c:v>
                </c:pt>
              </c:numCache>
            </c:numRef>
          </c:val>
        </c:ser>
        <c:marker val="1"/>
        <c:axId val="88469504"/>
        <c:axId val="88471424"/>
      </c:lineChart>
      <c:catAx>
        <c:axId val="88469504"/>
        <c:scaling>
          <c:orientation val="maxMin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Serial Number</a:t>
                </a:r>
              </a:p>
            </c:rich>
          </c:tx>
          <c:layout>
            <c:manualLayout>
              <c:xMode val="edge"/>
              <c:yMode val="edge"/>
              <c:x val="0.38452647614114793"/>
              <c:y val="0.93558290633215957"/>
            </c:manualLayout>
          </c:layout>
        </c:title>
        <c:numFmt formatCode="General" sourceLinked="0"/>
        <c:tickLblPos val="nextTo"/>
        <c:txPr>
          <a:bodyPr rot="-5400000" vert="horz" anchor="ctr" anchorCtr="1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471424"/>
        <c:crosses val="autoZero"/>
        <c:auto val="1"/>
        <c:lblAlgn val="ctr"/>
        <c:lblOffset val="100"/>
        <c:tickMarkSkip val="1"/>
      </c:catAx>
      <c:valAx>
        <c:axId val="88471424"/>
        <c:scaling>
          <c:orientation val="minMax"/>
          <c:max val="1471.4964"/>
          <c:min val="0"/>
        </c:scaling>
        <c:axPos val="l"/>
        <c:majorGridlines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Drilling Hours</a:t>
                </a:r>
              </a:p>
            </c:rich>
          </c:tx>
          <c:layout/>
        </c:title>
        <c:numFmt formatCode="General" sourceLinked="0"/>
        <c:maj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8469504"/>
        <c:crosses val="max"/>
        <c:crossBetween val="between"/>
      </c:valAx>
      <c:spPr>
        <a:ln>
          <a:solidFill>
            <a:schemeClr val="accent1"/>
          </a:solidFill>
        </a:ln>
      </c:spPr>
    </c:plotArea>
    <c:legend>
      <c:legendPos val="r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ayout>
        <c:manualLayout>
          <c:xMode val="edge"/>
          <c:yMode val="edge"/>
          <c:x val="0.22300986028410261"/>
          <c:y val="1.9157554747012223E-2"/>
          <c:w val="0.22742077952524403"/>
          <c:h val="0.18966270008821939"/>
        </c:manualLayout>
      </c:layout>
      <c:txPr>
        <a:bodyPr/>
        <a:lstStyle/>
        <a:p>
          <a:pPr>
            <a:defRPr sz="1200"/>
          </a:pPr>
          <a:endParaRPr lang="en-US"/>
        </a:p>
      </c:txPr>
    </c:legend>
    <c:plotVisOnly val="1"/>
    <c:dispBlanksAs val="gap"/>
  </c:chart>
  <c:txPr>
    <a:bodyPr/>
    <a:lstStyle/>
    <a:p>
      <a:pPr>
        <a:defRPr sz="11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89" l="0.70000000000000062" r="0.70000000000000062" t="0.75000000000000189" header="0.30000000000000032" footer="0.30000000000000032"/>
    <c:pageSetup orientation="portrait"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 algn="ctr" rtl="0">
              <a:defRPr lang="en-US" sz="1320" b="1" i="0" u="none" strike="noStrike" kern="1200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sz="1320" b="1" i="0" u="none" strike="noStrike" kern="1200" baseline="0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t>Reliability of  Sub Components 12569898</a:t>
            </a:r>
          </a:p>
        </c:rich>
      </c:tx>
      <c:layout>
        <c:manualLayout>
          <c:xMode val="edge"/>
          <c:yMode val="edge"/>
          <c:x val="0.24314037501259086"/>
          <c:y val="8.5304598778257435E-4"/>
        </c:manualLayout>
      </c:layout>
    </c:title>
    <c:plotArea>
      <c:layout>
        <c:manualLayout>
          <c:layoutTarget val="inner"/>
          <c:xMode val="edge"/>
          <c:yMode val="edge"/>
          <c:x val="0.15950737434166809"/>
          <c:y val="7.8707052984970924E-2"/>
          <c:w val="0.77342758616847473"/>
          <c:h val="0.63752961146129195"/>
        </c:manualLayout>
      </c:layout>
      <c:barChart>
        <c:barDir val="col"/>
        <c:grouping val="percentStacked"/>
        <c:ser>
          <c:idx val="0"/>
          <c:order val="0"/>
          <c:spPr>
            <a:solidFill>
              <a:schemeClr val="accent1"/>
            </a:solidFill>
            <a:ln>
              <a:solidFill>
                <a:schemeClr val="accent1"/>
              </a:solidFill>
            </a:ln>
          </c:spPr>
          <c:cat>
            <c:numRef>
              <c:f>PlotsSheetSystem!$B$13:$H$13</c:f>
              <c:numCache>
                <c:formatCode>@</c:formatCode>
                <c:ptCount val="7"/>
                <c:pt idx="0">
                  <c:v>12102208</c:v>
                </c:pt>
                <c:pt idx="1">
                  <c:v>12965138</c:v>
                </c:pt>
                <c:pt idx="2">
                  <c:v>14186895</c:v>
                </c:pt>
                <c:pt idx="3">
                  <c:v>13509491</c:v>
                </c:pt>
                <c:pt idx="4">
                  <c:v>13671644</c:v>
                </c:pt>
                <c:pt idx="5">
                  <c:v>13551136</c:v>
                </c:pt>
                <c:pt idx="6">
                  <c:v>12569898</c:v>
                </c:pt>
              </c:numCache>
            </c:numRef>
          </c:cat>
          <c:val>
            <c:numRef>
              <c:f>PlotsSheetSystem!$B$31:$H$31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0.08</c:v>
                </c:pt>
                <c:pt idx="4">
                  <c:v>0.86</c:v>
                </c:pt>
                <c:pt idx="5">
                  <c:v>0.78</c:v>
                </c:pt>
                <c:pt idx="6">
                  <c:v>0.56999999999999995</c:v>
                </c:pt>
              </c:numCache>
            </c:numRef>
          </c:val>
        </c:ser>
        <c:ser>
          <c:idx val="1"/>
          <c:order val="1"/>
          <c:spPr>
            <a:solidFill>
              <a:schemeClr val="bg1">
                <a:lumMod val="95000"/>
              </a:schemeClr>
            </a:solidFill>
            <a:ln>
              <a:solidFill>
                <a:schemeClr val="accent1"/>
              </a:solidFill>
            </a:ln>
          </c:spPr>
          <c:cat>
            <c:numRef>
              <c:f>PlotsSheetSystem!$B$13:$BZ$13</c:f>
              <c:numCache>
                <c:formatCode>@</c:formatCode>
                <c:ptCount val="73"/>
                <c:pt idx="0">
                  <c:v>12102208</c:v>
                </c:pt>
                <c:pt idx="1">
                  <c:v>12965138</c:v>
                </c:pt>
                <c:pt idx="2">
                  <c:v>14186895</c:v>
                </c:pt>
                <c:pt idx="3">
                  <c:v>13509491</c:v>
                </c:pt>
                <c:pt idx="4">
                  <c:v>13671644</c:v>
                </c:pt>
                <c:pt idx="5">
                  <c:v>13551136</c:v>
                </c:pt>
                <c:pt idx="6">
                  <c:v>12569898</c:v>
                </c:pt>
              </c:numCache>
            </c:numRef>
          </c:cat>
          <c:val>
            <c:numRef>
              <c:f>PlotsSheetSystem!$B$30:$H$30</c:f>
              <c:numCache>
                <c:formatCode>General</c:formatCode>
                <c:ptCount val="7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0.92</c:v>
                </c:pt>
                <c:pt idx="4">
                  <c:v>0.14000000000000001</c:v>
                </c:pt>
                <c:pt idx="5">
                  <c:v>0.21999999999999997</c:v>
                </c:pt>
                <c:pt idx="6">
                  <c:v>0.43000000000000005</c:v>
                </c:pt>
              </c:numCache>
            </c:numRef>
          </c:val>
        </c:ser>
        <c:gapWidth val="55"/>
        <c:overlap val="100"/>
        <c:axId val="118596352"/>
        <c:axId val="118598272"/>
      </c:barChart>
      <c:catAx>
        <c:axId val="118596352"/>
        <c:scaling>
          <c:orientation val="maxMin"/>
        </c:scaling>
        <c:axPos val="b"/>
        <c:title>
          <c:tx>
            <c:rich>
              <a:bodyPr/>
              <a:lstStyle/>
              <a:p>
                <a:pPr>
                  <a:defRPr sz="1200">
                    <a:latin typeface="+mn-lt"/>
                    <a:cs typeface="Arial" pitchFamily="34" charset="0"/>
                  </a:defRPr>
                </a:pPr>
                <a:r>
                  <a:rPr lang="en-US" sz="1200">
                    <a:latin typeface="+mn-lt"/>
                    <a:cs typeface="Arial" pitchFamily="34" charset="0"/>
                  </a:rPr>
                  <a:t>Serial</a:t>
                </a:r>
                <a:r>
                  <a:rPr lang="en-US" sz="1200" baseline="0">
                    <a:latin typeface="+mn-lt"/>
                    <a:cs typeface="Arial" pitchFamily="34" charset="0"/>
                  </a:rPr>
                  <a:t> Number</a:t>
                </a:r>
                <a:endParaRPr lang="en-US" sz="1200">
                  <a:latin typeface="+mn-lt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0.40793047924815573"/>
              <c:y val="0.94263751016264552"/>
            </c:manualLayout>
          </c:layout>
        </c:title>
        <c:numFmt formatCode="@" sourceLinked="0"/>
        <c:majorTickMark val="none"/>
        <c:tickLblPos val="nextTo"/>
        <c:crossAx val="118598272"/>
        <c:crosses val="max"/>
        <c:auto val="1"/>
        <c:lblAlgn val="ctr"/>
        <c:lblOffset val="100"/>
      </c:catAx>
      <c:valAx>
        <c:axId val="118598272"/>
        <c:scaling>
          <c:orientation val="maxMin"/>
        </c:scaling>
        <c:axPos val="l"/>
        <c:majorGridlines/>
        <c:title>
          <c:tx>
            <c:rich>
              <a:bodyPr/>
              <a:lstStyle/>
              <a:p>
                <a:pPr>
                  <a:defRPr sz="1200">
                    <a:latin typeface="+mn-lt"/>
                    <a:cs typeface="Arial" pitchFamily="34" charset="0"/>
                  </a:defRPr>
                </a:pPr>
                <a:r>
                  <a:rPr lang="en-US" sz="1200">
                    <a:latin typeface="+mn-lt"/>
                    <a:cs typeface="Arial" pitchFamily="34" charset="0"/>
                  </a:rPr>
                  <a:t>Consumed Life %</a:t>
                </a:r>
              </a:p>
            </c:rich>
          </c:tx>
          <c:layout>
            <c:manualLayout>
              <c:xMode val="edge"/>
              <c:yMode val="edge"/>
              <c:x val="2.9669508609690632E-2"/>
              <c:y val="0.322689371964484"/>
            </c:manualLayout>
          </c:layout>
        </c:title>
        <c:numFmt formatCode="0%" sourceLinked="1"/>
        <c:majorTickMark val="none"/>
        <c:tickLblPos val="nextTo"/>
        <c:crossAx val="118596352"/>
        <c:crosses val="max"/>
        <c:crossBetween val="between"/>
      </c:valAx>
      <c:spPr>
        <a:ln>
          <a:solidFill>
            <a:schemeClr val="accent1"/>
          </a:solidFill>
        </a:ln>
      </c:spPr>
    </c:plotArea>
    <c:plotVisOnly val="1"/>
    <c:dispBlanksAs val="gap"/>
  </c:chart>
  <c:printSettings>
    <c:headerFooter/>
    <c:pageMargins b="0.75000000000000189" l="0.70000000000000062" r="0.70000000000000062" t="0.75000000000000189" header="0.30000000000000032" footer="0.30000000000000032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99111</xdr:colOff>
      <xdr:row>0</xdr:row>
      <xdr:rowOff>48602</xdr:rowOff>
    </xdr:from>
    <xdr:to>
      <xdr:col>11</xdr:col>
      <xdr:colOff>442651</xdr:colOff>
      <xdr:row>22</xdr:row>
      <xdr:rowOff>191930</xdr:rowOff>
    </xdr:to>
    <xdr:grpSp>
      <xdr:nvGrpSpPr>
        <xdr:cNvPr id="8" name="Group 7"/>
        <xdr:cNvGrpSpPr/>
      </xdr:nvGrpSpPr>
      <xdr:grpSpPr>
        <a:xfrm>
          <a:off x="1051611" y="48602"/>
          <a:ext cx="9635707" cy="4535411"/>
          <a:chOff x="967154" y="18044"/>
          <a:chExt cx="14800455" cy="3913209"/>
        </a:xfrm>
      </xdr:grpSpPr>
      <xdr:graphicFrame macro="">
        <xdr:nvGraphicFramePr>
          <xdr:cNvPr id="9" name="Chart 1"/>
          <xdr:cNvGraphicFramePr>
            <a:graphicFrameLocks/>
          </xdr:cNvGraphicFramePr>
        </xdr:nvGraphicFramePr>
        <xdr:xfrm>
          <a:off x="967154" y="20712"/>
          <a:ext cx="7405078" cy="391054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10" name="Chart 7"/>
          <xdr:cNvGraphicFramePr>
            <a:graphicFrameLocks/>
          </xdr:cNvGraphicFramePr>
        </xdr:nvGraphicFramePr>
        <xdr:xfrm>
          <a:off x="8362533" y="18044"/>
          <a:ext cx="7405076" cy="391320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0.67728</cdr:x>
      <cdr:y>0.10393</cdr:y>
    </cdr:from>
    <cdr:to>
      <cdr:x>0.89865</cdr:x>
      <cdr:y>0.16621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832860" y="381000"/>
          <a:ext cx="1234440" cy="2438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/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an/JavaPlot/V2/10196240/ASS_ELP_ToolV44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RunHistory"/>
      <sheetName val="ModelData_10109796"/>
      <sheetName val="ModelData_N53350-101"/>
      <sheetName val="ModelData_N917511740"/>
      <sheetName val="ModelData_N917511744"/>
      <sheetName val="ModelData_10079371"/>
      <sheetName val="ModelData_10154684"/>
      <sheetName val="ModelData_N919103048"/>
      <sheetName val="AssemblyBuildRetrieval"/>
      <sheetName val="SeverityLinear"/>
      <sheetName val="testCase"/>
      <sheetName val="InputSheet"/>
      <sheetName val="SeverityExponential"/>
      <sheetName val="SeverityLog"/>
      <sheetName val="FilteringInputs"/>
      <sheetName val="Estimates_FirstRun"/>
      <sheetName val="EstimatesUsingFailures_FR"/>
      <sheetName val="EstimatesMixed"/>
      <sheetName val="Predictions_Life_Pf_of_1"/>
      <sheetName val="PlotsSheet"/>
      <sheetName val="EstimatesSuspension"/>
      <sheetName val="MCSTemp"/>
      <sheetName val="ListOfSerials"/>
      <sheetName val="PlotsSheetSystem"/>
      <sheetName val="PlotResult"/>
      <sheetName val="Estimates_75Suspension"/>
      <sheetName val="Estimates_QuarterSuspension"/>
      <sheetName val="Estimates_RepairSus"/>
      <sheetName val="Estimates_Repair"/>
      <sheetName val="PlotResultRun"/>
      <sheetName val="ModelData_10112680"/>
      <sheetName val="ModelData_10220391"/>
      <sheetName val="ModelData_10240511"/>
      <sheetName val="ModelData_N919103049"/>
      <sheetName val="ModelData_10079551"/>
      <sheetName val="ModelData_10082481"/>
      <sheetName val="ModelData_10138147"/>
      <sheetName val="ModelData_10082482"/>
      <sheetName val="ModelData_10082483"/>
      <sheetName val="ModelData_10112679"/>
      <sheetName val="ModelData_10146583"/>
      <sheetName val="ModelData_10221206"/>
      <sheetName val="ModelData_10227724"/>
      <sheetName val="ModelData_N917511458"/>
      <sheetName val="ModelData_N917511742"/>
      <sheetName val="ModelData_N917511743"/>
      <sheetName val="ModelData_N917511830"/>
      <sheetName val="ModelData_N917511831"/>
      <sheetName val="ModelData_N919103046"/>
      <sheetName val="ModelData_N919103047"/>
      <sheetName val="ModelData_10186074"/>
      <sheetName val="ModelData_N917511741"/>
      <sheetName val="ModelData_N919103152"/>
      <sheetName val="Estimates_Circ"/>
      <sheetName val="CumulativeDamageBucket"/>
      <sheetName val="ModelData_N917511781"/>
      <sheetName val="DescriptionTable"/>
      <sheetName val="ASS Tool Parts"/>
      <sheetName val="ModelData_10140821"/>
      <sheetName val="ModelData_10111155"/>
      <sheetName val="ModelData_10176515"/>
      <sheetName val="ModelData_10111082"/>
      <sheetName val="ModelData_10174297"/>
      <sheetName val="ModelData_10173569"/>
      <sheetName val="ModelData_10115283"/>
      <sheetName val="ModelData_10174161"/>
      <sheetName val="ModelData_10166883"/>
      <sheetName val="ModelData_10210811"/>
      <sheetName val="ModelData_10212615"/>
      <sheetName val="ModelData_10210527"/>
      <sheetName val="ModelData_10207002"/>
      <sheetName val="ModelData_A1000888000"/>
      <sheetName val="ModelData_10114092"/>
      <sheetName val="TempValid"/>
      <sheetName val="RiskTable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>
        <row r="1">
          <cell r="A1">
            <v>10</v>
          </cell>
        </row>
        <row r="2">
          <cell r="A2">
            <v>15</v>
          </cell>
        </row>
        <row r="3">
          <cell r="A3">
            <v>20</v>
          </cell>
        </row>
        <row r="4">
          <cell r="A4">
            <v>25</v>
          </cell>
        </row>
        <row r="5">
          <cell r="A5">
            <v>30</v>
          </cell>
        </row>
        <row r="6">
          <cell r="A6">
            <v>35</v>
          </cell>
        </row>
        <row r="7">
          <cell r="A7">
            <v>40</v>
          </cell>
        </row>
        <row r="8">
          <cell r="A8">
            <v>45</v>
          </cell>
        </row>
        <row r="9">
          <cell r="A9">
            <v>50</v>
          </cell>
        </row>
        <row r="10">
          <cell r="A10">
            <v>55</v>
          </cell>
        </row>
        <row r="11">
          <cell r="A11">
            <v>60</v>
          </cell>
        </row>
        <row r="12">
          <cell r="A12">
            <v>65</v>
          </cell>
        </row>
        <row r="13">
          <cell r="A13">
            <v>70</v>
          </cell>
        </row>
        <row r="14">
          <cell r="A14">
            <v>75</v>
          </cell>
        </row>
        <row r="15">
          <cell r="A15">
            <v>80</v>
          </cell>
        </row>
        <row r="16">
          <cell r="A16">
            <v>85</v>
          </cell>
        </row>
        <row r="17">
          <cell r="A17">
            <v>90</v>
          </cell>
        </row>
        <row r="18">
          <cell r="A18">
            <v>95</v>
          </cell>
        </row>
        <row r="19">
          <cell r="A19">
            <v>100</v>
          </cell>
        </row>
      </sheetData>
      <sheetData sheetId="7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ntrol" Target="../activeX/activeX2.xml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pageSetUpPr fitToPage="1"/>
  </sheetPr>
  <dimension ref="A2:V162"/>
  <sheetViews>
    <sheetView tabSelected="1" zoomScale="90" zoomScaleNormal="90" workbookViewId="0"/>
  </sheetViews>
  <sheetFormatPr defaultColWidth="9.140625" defaultRowHeight="15"/>
  <cols>
    <col min="1" max="1" width="14.28515625" style="2" customWidth="1"/>
    <col min="2" max="2" width="19.5703125" style="2" customWidth="1"/>
    <col min="3" max="3" width="19.7109375" style="2" customWidth="1"/>
    <col min="4" max="4" width="13.7109375" style="2" customWidth="1"/>
    <col min="5" max="5" width="17.42578125" style="2" customWidth="1"/>
    <col min="6" max="6" width="11.7109375" style="2" bestFit="1" customWidth="1"/>
    <col min="7" max="7" width="13" style="2" customWidth="1"/>
    <col min="8" max="8" width="11.140625" style="2" customWidth="1"/>
    <col min="9" max="9" width="11.140625" style="2" bestFit="1" customWidth="1"/>
    <col min="10" max="10" width="10.7109375" style="2" bestFit="1" customWidth="1"/>
    <col min="11" max="11" width="11.28515625" style="2" bestFit="1" customWidth="1"/>
    <col min="12" max="12" width="7.5703125" style="2" customWidth="1"/>
    <col min="13" max="13" width="37.7109375" style="2" bestFit="1" customWidth="1"/>
    <col min="14" max="14" width="42.42578125" style="36" customWidth="1"/>
    <col min="15" max="15" width="4.7109375" style="2" customWidth="1"/>
    <col min="16" max="16" width="41" style="2" bestFit="1" customWidth="1"/>
    <col min="17" max="17" width="46.5703125" style="2" customWidth="1"/>
    <col min="18" max="16384" width="9.140625" style="2"/>
  </cols>
  <sheetData>
    <row r="2" spans="14:16">
      <c r="P2" s="1"/>
    </row>
    <row r="3" spans="14:16">
      <c r="P3" s="1"/>
    </row>
    <row r="6" spans="14:16">
      <c r="N6" s="42" t="s">
        <v>51</v>
      </c>
    </row>
    <row r="7" spans="14:16">
      <c r="N7" s="42" t="s">
        <v>52</v>
      </c>
    </row>
    <row r="9" spans="14:16" ht="15.75" thickBot="1"/>
    <row r="10" spans="14:16" ht="15.75" thickBot="1">
      <c r="N10" s="37" t="s">
        <v>26</v>
      </c>
    </row>
    <row r="11" spans="14:16" ht="15.75" thickBot="1">
      <c r="N11" s="38">
        <v>75</v>
      </c>
    </row>
    <row r="15" spans="14:16">
      <c r="P15" s="2" t="s">
        <v>0</v>
      </c>
    </row>
    <row r="17" spans="1:22" ht="13.5" customHeight="1" thickBot="1"/>
    <row r="18" spans="1:22">
      <c r="N18" s="39" t="s">
        <v>30</v>
      </c>
    </row>
    <row r="19" spans="1:22">
      <c r="N19" s="32" t="s">
        <v>33</v>
      </c>
    </row>
    <row r="20" spans="1:22">
      <c r="N20" s="33" t="s">
        <v>34</v>
      </c>
    </row>
    <row r="21" spans="1:22">
      <c r="N21" s="34" t="s">
        <v>35</v>
      </c>
    </row>
    <row r="22" spans="1:22" ht="30">
      <c r="N22" s="35" t="s">
        <v>31</v>
      </c>
    </row>
    <row r="23" spans="1:22" ht="15.75" thickBot="1">
      <c r="N23" s="40" t="s">
        <v>32</v>
      </c>
    </row>
    <row r="25" spans="1:22" ht="39">
      <c r="A25" s="3" t="s">
        <v>1</v>
      </c>
      <c r="B25" s="3" t="s">
        <v>2</v>
      </c>
      <c r="C25" s="3" t="s">
        <v>38</v>
      </c>
      <c r="D25" s="3" t="s">
        <v>36</v>
      </c>
      <c r="E25" s="3" t="s">
        <v>37</v>
      </c>
      <c r="F25" s="4" t="s">
        <v>6</v>
      </c>
      <c r="G25" s="4" t="s">
        <v>7</v>
      </c>
      <c r="H25" s="4" t="s">
        <v>8</v>
      </c>
      <c r="I25" s="4" t="s">
        <v>9</v>
      </c>
      <c r="J25" s="4" t="s">
        <v>10</v>
      </c>
      <c r="K25" s="4" t="s">
        <v>11</v>
      </c>
      <c r="L25" s="4" t="s">
        <v>12</v>
      </c>
      <c r="M25" s="4" t="s">
        <v>13</v>
      </c>
      <c r="N25" s="4" t="s">
        <v>14</v>
      </c>
    </row>
    <row r="26" spans="1:22">
      <c r="A26" s="5" t="s">
        <v>41</v>
      </c>
      <c r="B26" s="5">
        <v>12102208</v>
      </c>
      <c r="C26" s="6" t="s">
        <v>53</v>
      </c>
      <c r="D26" s="6" t="s">
        <v>54</v>
      </c>
      <c r="E26" s="6" t="s">
        <v>55</v>
      </c>
      <c r="F26" s="6">
        <v>43.1</v>
      </c>
      <c r="G26" s="6">
        <v>172.72</v>
      </c>
      <c r="H26" s="6">
        <v>198.703</v>
      </c>
      <c r="I26" s="6">
        <v>331.553</v>
      </c>
      <c r="J26" s="6">
        <v>367.03</v>
      </c>
      <c r="K26" s="6">
        <v>1919.328</v>
      </c>
      <c r="L26" s="45">
        <v>0</v>
      </c>
      <c r="M26" s="41" t="s">
        <v>42</v>
      </c>
      <c r="N26" s="41"/>
      <c r="O26"/>
      <c r="P26"/>
      <c r="Q26"/>
      <c r="R26"/>
      <c r="S26"/>
      <c r="T26"/>
      <c r="U26"/>
      <c r="V26"/>
    </row>
    <row r="27" spans="1:22">
      <c r="A27" s="5" t="s">
        <v>39</v>
      </c>
      <c r="B27" s="5">
        <v>12965138</v>
      </c>
      <c r="C27" s="6" t="s">
        <v>56</v>
      </c>
      <c r="D27" s="6" t="s">
        <v>43</v>
      </c>
      <c r="E27" s="6" t="s">
        <v>57</v>
      </c>
      <c r="F27" s="6">
        <v>284.39999999999998</v>
      </c>
      <c r="G27" s="6">
        <v>347.92399999999998</v>
      </c>
      <c r="H27" s="6">
        <v>388.43900000000002</v>
      </c>
      <c r="I27" s="6">
        <v>603.53</v>
      </c>
      <c r="J27" s="6">
        <v>650.93899999999996</v>
      </c>
      <c r="K27" s="6">
        <v>1859.808</v>
      </c>
      <c r="L27" s="45">
        <v>0</v>
      </c>
      <c r="M27" s="41" t="s">
        <v>40</v>
      </c>
      <c r="N27" s="41"/>
      <c r="O27"/>
      <c r="P27"/>
      <c r="Q27"/>
      <c r="R27"/>
      <c r="S27"/>
      <c r="T27"/>
      <c r="U27"/>
      <c r="V27"/>
    </row>
    <row r="28" spans="1:22">
      <c r="A28" s="5">
        <v>10258909</v>
      </c>
      <c r="B28" s="5">
        <v>14186895</v>
      </c>
      <c r="C28" s="6" t="s">
        <v>58</v>
      </c>
      <c r="D28" s="6" t="s">
        <v>59</v>
      </c>
      <c r="E28" s="6" t="s">
        <v>60</v>
      </c>
      <c r="F28" s="6">
        <v>100.8</v>
      </c>
      <c r="G28" s="6">
        <v>159.63800000000001</v>
      </c>
      <c r="H28" s="6">
        <v>272.02499999999998</v>
      </c>
      <c r="I28" s="6">
        <v>379.56299999999999</v>
      </c>
      <c r="J28" s="6">
        <v>489.02199999999999</v>
      </c>
      <c r="K28" s="6">
        <v>1879.8320000000001</v>
      </c>
      <c r="L28" s="45">
        <v>0</v>
      </c>
      <c r="M28" s="41" t="s">
        <v>47</v>
      </c>
      <c r="N28" s="41"/>
      <c r="O28"/>
      <c r="P28"/>
      <c r="Q28"/>
      <c r="R28"/>
      <c r="S28"/>
      <c r="T28"/>
      <c r="U28"/>
      <c r="V28"/>
    </row>
    <row r="29" spans="1:22">
      <c r="A29" s="5">
        <v>10258909</v>
      </c>
      <c r="B29" s="5">
        <v>13509491</v>
      </c>
      <c r="C29" s="6" t="s">
        <v>61</v>
      </c>
      <c r="D29" s="6" t="s">
        <v>62</v>
      </c>
      <c r="E29" s="6" t="s">
        <v>63</v>
      </c>
      <c r="F29" s="6">
        <v>352.5</v>
      </c>
      <c r="G29" s="6">
        <v>322.10000000000002</v>
      </c>
      <c r="H29" s="6">
        <v>436.33699999999999</v>
      </c>
      <c r="I29" s="6">
        <v>706.05399999999997</v>
      </c>
      <c r="J29" s="6">
        <v>860.50099999999998</v>
      </c>
      <c r="K29" s="6">
        <v>2189.558</v>
      </c>
      <c r="L29" s="45">
        <v>0.08</v>
      </c>
      <c r="M29" s="41" t="s">
        <v>47</v>
      </c>
      <c r="N29" s="41"/>
      <c r="O29"/>
      <c r="P29"/>
      <c r="Q29"/>
      <c r="R29"/>
      <c r="S29"/>
      <c r="T29"/>
      <c r="U29"/>
      <c r="V29"/>
    </row>
    <row r="30" spans="1:22">
      <c r="A30" s="5">
        <v>10210527</v>
      </c>
      <c r="B30" s="5">
        <v>13671644</v>
      </c>
      <c r="C30" s="6" t="s">
        <v>64</v>
      </c>
      <c r="D30" s="6" t="s">
        <v>44</v>
      </c>
      <c r="E30" s="6" t="s">
        <v>45</v>
      </c>
      <c r="F30" s="6">
        <v>320.5</v>
      </c>
      <c r="G30" s="6">
        <v>159.851</v>
      </c>
      <c r="H30" s="6">
        <v>169.90100000000001</v>
      </c>
      <c r="I30" s="6">
        <v>180.15600000000001</v>
      </c>
      <c r="J30" s="6">
        <v>196.48400000000001</v>
      </c>
      <c r="K30" s="6">
        <v>455.428</v>
      </c>
      <c r="L30" s="44">
        <v>0.86</v>
      </c>
      <c r="M30" s="41" t="s">
        <v>48</v>
      </c>
      <c r="N30" s="41"/>
      <c r="O30"/>
      <c r="P30"/>
      <c r="Q30"/>
      <c r="R30"/>
      <c r="S30"/>
      <c r="T30"/>
      <c r="U30"/>
      <c r="V30"/>
    </row>
    <row r="31" spans="1:22">
      <c r="A31" s="5">
        <v>10210527</v>
      </c>
      <c r="B31" s="5">
        <v>13551136</v>
      </c>
      <c r="C31" s="6" t="s">
        <v>65</v>
      </c>
      <c r="D31" s="6" t="s">
        <v>66</v>
      </c>
      <c r="E31" s="6" t="s">
        <v>67</v>
      </c>
      <c r="F31" s="6">
        <v>366.8</v>
      </c>
      <c r="G31" s="6">
        <v>227.64599999999999</v>
      </c>
      <c r="H31" s="6">
        <v>262.298</v>
      </c>
      <c r="I31" s="6">
        <v>298.38900000000001</v>
      </c>
      <c r="J31" s="6">
        <v>334.97</v>
      </c>
      <c r="K31" s="6">
        <v>540.26400000000001</v>
      </c>
      <c r="L31" s="44">
        <v>0.78</v>
      </c>
      <c r="M31" s="41" t="s">
        <v>48</v>
      </c>
      <c r="N31" s="41"/>
      <c r="O31"/>
      <c r="P31"/>
      <c r="Q31"/>
      <c r="R31"/>
      <c r="S31"/>
      <c r="T31"/>
      <c r="U31"/>
      <c r="V31"/>
    </row>
    <row r="32" spans="1:22" ht="30">
      <c r="A32" s="5">
        <v>10256025</v>
      </c>
      <c r="B32" s="5">
        <v>12569898</v>
      </c>
      <c r="C32" s="6" t="s">
        <v>68</v>
      </c>
      <c r="D32" s="6" t="s">
        <v>44</v>
      </c>
      <c r="E32" s="6" t="s">
        <v>69</v>
      </c>
      <c r="F32" s="6">
        <v>1027.3</v>
      </c>
      <c r="G32" s="6">
        <v>642.77700000000004</v>
      </c>
      <c r="H32" s="6">
        <v>790.39400000000001</v>
      </c>
      <c r="I32" s="6">
        <v>946.74099999999999</v>
      </c>
      <c r="J32" s="6">
        <v>1226.2470000000001</v>
      </c>
      <c r="K32" s="6">
        <v>2053.1579999999999</v>
      </c>
      <c r="L32" s="43">
        <v>0.56999999999999995</v>
      </c>
      <c r="M32" s="41" t="s">
        <v>49</v>
      </c>
      <c r="N32" s="41" t="s">
        <v>50</v>
      </c>
      <c r="O32"/>
      <c r="P32"/>
      <c r="Q32"/>
      <c r="R32"/>
      <c r="S32"/>
      <c r="T32"/>
      <c r="U32"/>
      <c r="V32"/>
    </row>
    <row r="33" spans="1:22">
      <c r="A33" s="8"/>
      <c r="B33" s="8"/>
      <c r="C33" s="6"/>
      <c r="D33" s="6"/>
      <c r="E33" s="6"/>
      <c r="F33" s="6"/>
      <c r="G33" s="6"/>
      <c r="H33" s="6"/>
      <c r="I33" s="6"/>
      <c r="J33" s="6"/>
      <c r="K33" s="6"/>
      <c r="L33" s="8"/>
      <c r="M33" s="41"/>
      <c r="N33" s="41"/>
      <c r="O33"/>
      <c r="P33"/>
      <c r="Q33"/>
      <c r="R33"/>
      <c r="S33"/>
      <c r="T33"/>
      <c r="U33"/>
      <c r="V33"/>
    </row>
    <row r="34" spans="1:22">
      <c r="A34" s="8"/>
      <c r="B34" s="8"/>
      <c r="C34" s="6"/>
      <c r="D34" s="6"/>
      <c r="E34" s="6"/>
      <c r="F34" s="6"/>
      <c r="G34" s="6"/>
      <c r="H34" s="6"/>
      <c r="I34" s="6"/>
      <c r="J34" s="6"/>
      <c r="K34" s="6"/>
      <c r="L34" s="8"/>
      <c r="M34" s="41"/>
      <c r="N34" s="41"/>
      <c r="O34"/>
      <c r="P34"/>
      <c r="Q34"/>
      <c r="R34"/>
      <c r="S34"/>
      <c r="T34"/>
      <c r="U34"/>
      <c r="V34"/>
    </row>
    <row r="35" spans="1:22">
      <c r="A35" s="8"/>
      <c r="B35" s="8"/>
      <c r="C35" s="6"/>
      <c r="D35" s="6"/>
      <c r="E35" s="6"/>
      <c r="F35" s="6"/>
      <c r="G35" s="6"/>
      <c r="H35" s="6"/>
      <c r="I35" s="6"/>
      <c r="J35" s="6"/>
      <c r="K35" s="6"/>
      <c r="L35" s="8"/>
      <c r="M35" s="41"/>
      <c r="N35" s="41"/>
      <c r="O35"/>
      <c r="P35"/>
      <c r="Q35"/>
      <c r="R35"/>
      <c r="S35"/>
      <c r="T35"/>
      <c r="U35"/>
      <c r="V35"/>
    </row>
    <row r="36" spans="1:22">
      <c r="A36" s="8"/>
      <c r="B36" s="8"/>
      <c r="C36" s="6"/>
      <c r="D36" s="6"/>
      <c r="E36" s="6"/>
      <c r="F36" s="6"/>
      <c r="G36" s="6"/>
      <c r="H36" s="6"/>
      <c r="I36" s="6"/>
      <c r="J36" s="6"/>
      <c r="K36" s="6"/>
      <c r="L36" s="8"/>
      <c r="M36" s="41"/>
      <c r="N36" s="41"/>
      <c r="O36"/>
      <c r="P36"/>
      <c r="Q36"/>
      <c r="R36"/>
      <c r="S36"/>
      <c r="T36"/>
      <c r="U36"/>
      <c r="V36"/>
    </row>
    <row r="37" spans="1:22">
      <c r="A37" s="8"/>
      <c r="B37" s="8"/>
      <c r="C37" s="6"/>
      <c r="D37" s="6"/>
      <c r="E37" s="6"/>
      <c r="F37" s="6"/>
      <c r="G37" s="6"/>
      <c r="H37" s="6"/>
      <c r="I37" s="6"/>
      <c r="J37" s="6"/>
      <c r="K37" s="6"/>
      <c r="L37" s="8"/>
      <c r="M37" s="41"/>
      <c r="N37" s="41"/>
      <c r="O37"/>
      <c r="P37"/>
      <c r="Q37"/>
      <c r="R37"/>
      <c r="S37"/>
      <c r="T37"/>
      <c r="U37"/>
      <c r="V37"/>
    </row>
    <row r="38" spans="1:22">
      <c r="A38" s="8"/>
      <c r="B38" s="8"/>
      <c r="C38" s="6"/>
      <c r="D38" s="6"/>
      <c r="E38" s="6"/>
      <c r="F38" s="6"/>
      <c r="G38" s="6"/>
      <c r="H38" s="6"/>
      <c r="I38" s="6"/>
      <c r="J38" s="6"/>
      <c r="K38" s="6"/>
      <c r="L38" s="8"/>
      <c r="M38" s="41"/>
      <c r="N38" s="41"/>
      <c r="O38"/>
      <c r="P38"/>
      <c r="Q38"/>
      <c r="R38"/>
      <c r="S38"/>
      <c r="T38"/>
      <c r="U38"/>
      <c r="V38"/>
    </row>
    <row r="39" spans="1:22">
      <c r="A39" s="8"/>
      <c r="B39" s="8"/>
      <c r="C39" s="6"/>
      <c r="D39" s="6"/>
      <c r="E39" s="6"/>
      <c r="F39" s="6"/>
      <c r="G39" s="6"/>
      <c r="H39" s="6"/>
      <c r="I39" s="6"/>
      <c r="J39" s="6"/>
      <c r="K39" s="6"/>
      <c r="L39" s="8"/>
      <c r="M39" s="41"/>
      <c r="N39" s="41"/>
      <c r="O39"/>
      <c r="P39"/>
      <c r="Q39"/>
      <c r="R39"/>
      <c r="S39"/>
      <c r="T39"/>
      <c r="U39"/>
      <c r="V39"/>
    </row>
    <row r="40" spans="1:22">
      <c r="A40" s="8"/>
      <c r="B40" s="8"/>
      <c r="C40" s="6"/>
      <c r="D40" s="6"/>
      <c r="E40" s="6"/>
      <c r="F40" s="6"/>
      <c r="G40" s="6"/>
      <c r="H40" s="6"/>
      <c r="I40" s="6"/>
      <c r="J40" s="6"/>
      <c r="K40" s="6"/>
      <c r="L40" s="8"/>
      <c r="M40" s="41"/>
      <c r="N40" s="41"/>
      <c r="O40"/>
      <c r="P40"/>
      <c r="Q40"/>
      <c r="R40"/>
      <c r="S40"/>
      <c r="T40"/>
      <c r="U40"/>
      <c r="V40"/>
    </row>
    <row r="41" spans="1:22">
      <c r="A41" s="8"/>
      <c r="B41" s="8"/>
      <c r="C41" s="6"/>
      <c r="D41" s="6"/>
      <c r="E41" s="6"/>
      <c r="F41" s="6"/>
      <c r="G41" s="6"/>
      <c r="H41" s="6"/>
      <c r="I41" s="6"/>
      <c r="J41" s="6"/>
      <c r="K41" s="6"/>
      <c r="L41" s="8"/>
      <c r="M41" s="41"/>
      <c r="N41" s="41"/>
      <c r="O41"/>
      <c r="P41"/>
      <c r="Q41"/>
      <c r="R41"/>
      <c r="S41"/>
      <c r="T41"/>
      <c r="U41"/>
      <c r="V41"/>
    </row>
    <row r="42" spans="1:22">
      <c r="A42" s="8"/>
      <c r="B42" s="8"/>
      <c r="C42" s="6"/>
      <c r="D42" s="6"/>
      <c r="E42" s="6"/>
      <c r="F42" s="6"/>
      <c r="G42" s="6"/>
      <c r="H42" s="6"/>
      <c r="I42" s="6"/>
      <c r="J42" s="6"/>
      <c r="K42" s="6"/>
      <c r="L42" s="8"/>
      <c r="M42" s="41"/>
      <c r="N42" s="41"/>
      <c r="O42"/>
      <c r="P42"/>
      <c r="Q42"/>
      <c r="R42"/>
      <c r="S42"/>
      <c r="T42"/>
      <c r="U42"/>
      <c r="V42"/>
    </row>
    <row r="43" spans="1:22">
      <c r="A43" s="8"/>
      <c r="B43" s="8"/>
      <c r="C43" s="6"/>
      <c r="D43" s="6"/>
      <c r="E43" s="6"/>
      <c r="F43" s="6"/>
      <c r="G43" s="6"/>
      <c r="H43" s="6"/>
      <c r="I43" s="6"/>
      <c r="J43" s="6"/>
      <c r="K43" s="6"/>
      <c r="L43" s="8"/>
      <c r="M43" s="41"/>
      <c r="N43" s="41"/>
      <c r="O43"/>
      <c r="P43"/>
      <c r="Q43"/>
      <c r="R43"/>
      <c r="S43"/>
      <c r="T43"/>
      <c r="U43"/>
      <c r="V43"/>
    </row>
    <row r="44" spans="1:22">
      <c r="A44" s="8"/>
      <c r="B44" s="8"/>
      <c r="C44" s="6"/>
      <c r="D44" s="6"/>
      <c r="E44" s="6"/>
      <c r="F44" s="6"/>
      <c r="G44" s="6"/>
      <c r="H44" s="6"/>
      <c r="I44" s="6"/>
      <c r="J44" s="6"/>
      <c r="K44" s="6"/>
      <c r="L44" s="8"/>
      <c r="M44" s="41"/>
      <c r="N44" s="41"/>
      <c r="O44"/>
      <c r="P44"/>
      <c r="Q44"/>
      <c r="R44"/>
      <c r="S44"/>
      <c r="T44"/>
      <c r="U44"/>
      <c r="V44"/>
    </row>
    <row r="45" spans="1:22">
      <c r="A45" s="8"/>
      <c r="B45" s="8"/>
      <c r="C45" s="6"/>
      <c r="D45" s="6"/>
      <c r="E45" s="6"/>
      <c r="F45" s="6"/>
      <c r="G45" s="6"/>
      <c r="H45" s="6"/>
      <c r="I45" s="6"/>
      <c r="J45" s="6"/>
      <c r="K45" s="6"/>
      <c r="L45" s="8"/>
      <c r="M45" s="41"/>
      <c r="N45" s="41"/>
      <c r="O45"/>
      <c r="P45"/>
      <c r="Q45"/>
      <c r="R45"/>
      <c r="S45"/>
      <c r="T45"/>
      <c r="U45"/>
      <c r="V45"/>
    </row>
    <row r="46" spans="1:22">
      <c r="A46" s="8"/>
      <c r="B46" s="8"/>
      <c r="C46" s="6"/>
      <c r="D46" s="6"/>
      <c r="E46" s="6"/>
      <c r="F46" s="6"/>
      <c r="G46" s="6"/>
      <c r="H46" s="6"/>
      <c r="I46" s="6"/>
      <c r="J46" s="6"/>
      <c r="K46" s="6"/>
      <c r="L46" s="8"/>
      <c r="M46" s="41"/>
      <c r="N46" s="41"/>
      <c r="O46"/>
      <c r="P46"/>
      <c r="Q46"/>
      <c r="R46"/>
      <c r="S46"/>
      <c r="T46"/>
      <c r="U46"/>
      <c r="V46"/>
    </row>
    <row r="47" spans="1:22">
      <c r="A47" s="8"/>
      <c r="B47" s="8"/>
      <c r="C47" s="6"/>
      <c r="D47" s="6"/>
      <c r="E47" s="6"/>
      <c r="F47" s="6"/>
      <c r="G47" s="6"/>
      <c r="H47" s="6"/>
      <c r="I47" s="6"/>
      <c r="J47" s="6"/>
      <c r="K47" s="6"/>
      <c r="L47" s="8"/>
      <c r="M47" s="41"/>
      <c r="N47" s="41"/>
      <c r="O47"/>
      <c r="P47"/>
      <c r="Q47"/>
      <c r="R47"/>
      <c r="S47"/>
      <c r="T47"/>
      <c r="U47"/>
      <c r="V47"/>
    </row>
    <row r="48" spans="1:22">
      <c r="A48" s="8"/>
      <c r="B48" s="8"/>
      <c r="C48" s="6"/>
      <c r="D48" s="6"/>
      <c r="E48" s="6"/>
      <c r="F48" s="6"/>
      <c r="G48" s="6"/>
      <c r="H48" s="6"/>
      <c r="I48" s="6"/>
      <c r="J48" s="6"/>
      <c r="K48" s="6"/>
      <c r="L48" s="8"/>
      <c r="M48" s="41"/>
      <c r="N48" s="41"/>
      <c r="O48"/>
      <c r="P48"/>
      <c r="Q48"/>
      <c r="R48"/>
      <c r="S48"/>
      <c r="T48"/>
      <c r="U48"/>
      <c r="V48"/>
    </row>
    <row r="49" spans="1:22">
      <c r="A49" s="8"/>
      <c r="B49" s="8"/>
      <c r="C49" s="6"/>
      <c r="D49" s="6"/>
      <c r="E49" s="6"/>
      <c r="F49" s="6"/>
      <c r="G49" s="6"/>
      <c r="H49" s="6"/>
      <c r="I49" s="6"/>
      <c r="J49" s="6"/>
      <c r="K49" s="6"/>
      <c r="L49" s="8"/>
      <c r="M49" s="41"/>
      <c r="N49" s="41"/>
      <c r="O49"/>
      <c r="P49"/>
      <c r="Q49"/>
      <c r="R49"/>
      <c r="S49"/>
      <c r="T49"/>
      <c r="U49"/>
      <c r="V49"/>
    </row>
    <row r="50" spans="1:22">
      <c r="A50" s="8"/>
      <c r="B50" s="8"/>
      <c r="C50" s="6"/>
      <c r="D50" s="6"/>
      <c r="E50" s="6"/>
      <c r="F50" s="6"/>
      <c r="G50" s="6"/>
      <c r="H50" s="6"/>
      <c r="I50" s="6"/>
      <c r="J50" s="6"/>
      <c r="K50" s="6"/>
      <c r="L50" s="8"/>
      <c r="M50" s="41"/>
      <c r="N50" s="41"/>
      <c r="O50"/>
      <c r="P50"/>
      <c r="Q50"/>
      <c r="R50"/>
      <c r="S50"/>
      <c r="T50"/>
      <c r="U50"/>
      <c r="V50"/>
    </row>
    <row r="51" spans="1:22">
      <c r="A51" s="8"/>
      <c r="B51" s="8"/>
      <c r="C51" s="6"/>
      <c r="D51" s="6"/>
      <c r="E51" s="6"/>
      <c r="F51" s="6"/>
      <c r="G51" s="6"/>
      <c r="H51" s="6"/>
      <c r="I51" s="6"/>
      <c r="J51" s="6"/>
      <c r="K51" s="6"/>
      <c r="L51" s="8"/>
      <c r="M51" s="41"/>
      <c r="N51" s="41"/>
      <c r="O51"/>
      <c r="P51"/>
      <c r="Q51"/>
      <c r="R51"/>
      <c r="S51"/>
      <c r="T51"/>
      <c r="U51"/>
      <c r="V51"/>
    </row>
    <row r="52" spans="1:22">
      <c r="A52" s="8"/>
      <c r="B52" s="8"/>
      <c r="C52" s="6"/>
      <c r="D52" s="6"/>
      <c r="E52" s="6"/>
      <c r="F52" s="6"/>
      <c r="G52" s="6"/>
      <c r="H52" s="6"/>
      <c r="I52" s="6"/>
      <c r="J52" s="6"/>
      <c r="K52" s="6"/>
      <c r="L52" s="8"/>
      <c r="M52" s="41"/>
      <c r="N52" s="41"/>
      <c r="O52"/>
      <c r="P52"/>
      <c r="Q52"/>
      <c r="R52"/>
      <c r="S52"/>
      <c r="T52"/>
      <c r="U52"/>
      <c r="V52"/>
    </row>
    <row r="53" spans="1:2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</row>
    <row r="54" spans="1:2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</row>
    <row r="55" spans="1:2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</row>
    <row r="56" spans="1:2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</row>
    <row r="57" spans="1:2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</row>
    <row r="58" spans="1:2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</row>
    <row r="59" spans="1:2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</row>
    <row r="60" spans="1:2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</row>
    <row r="61" spans="1:2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</row>
    <row r="62" spans="1:2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</row>
    <row r="63" spans="1:2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</row>
    <row r="64" spans="1:2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</row>
    <row r="65" spans="1:2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</row>
    <row r="66" spans="1:2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</row>
    <row r="67" spans="1:2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</row>
    <row r="68" spans="1:2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</row>
    <row r="69" spans="1:2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</row>
    <row r="70" spans="1:2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</row>
    <row r="71" spans="1:2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</row>
    <row r="72" spans="1:2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</row>
    <row r="73" spans="1:2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</row>
    <row r="74" spans="1:2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</row>
    <row r="75" spans="1:2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</row>
    <row r="76" spans="1:2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</row>
    <row r="77" spans="1:2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</row>
    <row r="78" spans="1:2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</row>
    <row r="79" spans="1:2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</row>
    <row r="80" spans="1:2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</row>
    <row r="81" spans="1:20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>
      <c r="B101" s="31"/>
      <c r="C101" s="31"/>
      <c r="D101" s="31"/>
      <c r="E101" s="31"/>
    </row>
    <row r="102" spans="1:20">
      <c r="B102" s="31"/>
      <c r="C102" s="31"/>
      <c r="D102" s="31"/>
      <c r="E102" s="31"/>
    </row>
    <row r="103" spans="1:20">
      <c r="B103" s="31"/>
      <c r="C103" s="31"/>
      <c r="D103" s="31"/>
      <c r="E103" s="31"/>
    </row>
    <row r="104" spans="1:20">
      <c r="B104" s="31"/>
      <c r="C104" s="31"/>
      <c r="D104" s="31"/>
      <c r="E104" s="31"/>
    </row>
    <row r="105" spans="1:20">
      <c r="B105" s="31"/>
      <c r="C105" s="31"/>
      <c r="D105" s="31"/>
      <c r="E105" s="31"/>
    </row>
    <row r="106" spans="1:20">
      <c r="B106" s="31"/>
      <c r="C106" s="31"/>
      <c r="D106" s="31"/>
      <c r="E106" s="31"/>
    </row>
    <row r="107" spans="1:20">
      <c r="B107" s="31"/>
      <c r="C107" s="31"/>
      <c r="D107" s="31"/>
      <c r="E107" s="31"/>
    </row>
    <row r="108" spans="1:20">
      <c r="B108" s="31"/>
      <c r="C108" s="31"/>
      <c r="D108" s="31"/>
      <c r="E108" s="31"/>
    </row>
    <row r="109" spans="1:20">
      <c r="B109" s="31"/>
      <c r="C109" s="31"/>
      <c r="D109" s="31"/>
      <c r="E109" s="31"/>
    </row>
    <row r="110" spans="1:20">
      <c r="B110" s="31"/>
      <c r="C110" s="31"/>
      <c r="D110" s="31"/>
      <c r="E110" s="31"/>
    </row>
    <row r="111" spans="1:20">
      <c r="B111" s="31"/>
      <c r="C111" s="31"/>
      <c r="D111" s="31"/>
      <c r="E111" s="31"/>
    </row>
    <row r="112" spans="1:20">
      <c r="B112" s="31"/>
      <c r="C112" s="31"/>
      <c r="D112" s="31"/>
      <c r="E112" s="31"/>
    </row>
    <row r="113" spans="2:5">
      <c r="B113" s="31"/>
      <c r="C113" s="31"/>
      <c r="D113" s="31"/>
      <c r="E113" s="31"/>
    </row>
    <row r="114" spans="2:5">
      <c r="B114" s="31"/>
      <c r="C114" s="31"/>
      <c r="D114" s="31"/>
      <c r="E114" s="31"/>
    </row>
    <row r="115" spans="2:5">
      <c r="B115" s="31"/>
      <c r="C115" s="31"/>
      <c r="D115" s="31"/>
      <c r="E115" s="31"/>
    </row>
    <row r="116" spans="2:5">
      <c r="B116" s="31"/>
      <c r="C116" s="31"/>
      <c r="D116" s="31"/>
      <c r="E116" s="31"/>
    </row>
    <row r="117" spans="2:5">
      <c r="B117" s="31"/>
      <c r="C117" s="31"/>
      <c r="D117" s="31"/>
      <c r="E117" s="31"/>
    </row>
    <row r="118" spans="2:5">
      <c r="B118" s="31"/>
      <c r="C118" s="31"/>
      <c r="D118" s="31"/>
      <c r="E118" s="31"/>
    </row>
    <row r="119" spans="2:5">
      <c r="B119" s="31"/>
      <c r="C119" s="31"/>
      <c r="D119" s="31"/>
      <c r="E119" s="31"/>
    </row>
    <row r="120" spans="2:5">
      <c r="B120" s="31"/>
      <c r="C120" s="31"/>
      <c r="D120" s="31"/>
      <c r="E120" s="31"/>
    </row>
    <row r="121" spans="2:5">
      <c r="B121" s="31"/>
      <c r="C121" s="31"/>
      <c r="D121" s="31"/>
      <c r="E121" s="31"/>
    </row>
    <row r="122" spans="2:5">
      <c r="B122" s="31"/>
      <c r="C122" s="31"/>
      <c r="D122" s="31"/>
      <c r="E122" s="31"/>
    </row>
    <row r="123" spans="2:5">
      <c r="B123" s="31"/>
      <c r="C123" s="31"/>
      <c r="D123" s="31"/>
      <c r="E123" s="31"/>
    </row>
    <row r="124" spans="2:5">
      <c r="B124" s="31"/>
      <c r="C124" s="31"/>
      <c r="D124" s="31"/>
      <c r="E124" s="31"/>
    </row>
    <row r="125" spans="2:5">
      <c r="B125" s="31"/>
      <c r="C125" s="31"/>
      <c r="D125" s="31"/>
      <c r="E125" s="31"/>
    </row>
    <row r="126" spans="2:5">
      <c r="B126" s="31"/>
      <c r="C126" s="31"/>
      <c r="D126" s="31"/>
      <c r="E126" s="31"/>
    </row>
    <row r="127" spans="2:5">
      <c r="B127" s="31"/>
      <c r="C127" s="31"/>
      <c r="D127" s="31"/>
      <c r="E127" s="31"/>
    </row>
    <row r="128" spans="2:5">
      <c r="B128" s="31"/>
      <c r="C128" s="31"/>
      <c r="D128" s="31"/>
      <c r="E128" s="31"/>
    </row>
    <row r="129" spans="2:5">
      <c r="B129" s="31"/>
      <c r="C129" s="31"/>
      <c r="D129" s="31"/>
      <c r="E129" s="31"/>
    </row>
    <row r="130" spans="2:5">
      <c r="B130" s="31"/>
      <c r="C130" s="31"/>
      <c r="D130" s="31"/>
      <c r="E130" s="31"/>
    </row>
    <row r="131" spans="2:5">
      <c r="B131" s="31"/>
      <c r="C131" s="31"/>
      <c r="D131" s="31"/>
      <c r="E131" s="31"/>
    </row>
    <row r="132" spans="2:5">
      <c r="B132" s="31"/>
      <c r="C132" s="31"/>
      <c r="D132" s="31"/>
      <c r="E132" s="31"/>
    </row>
    <row r="133" spans="2:5">
      <c r="B133" s="31"/>
      <c r="C133" s="31"/>
      <c r="D133" s="31"/>
      <c r="E133" s="31"/>
    </row>
    <row r="134" spans="2:5">
      <c r="B134" s="31"/>
      <c r="C134" s="31"/>
      <c r="D134" s="31"/>
      <c r="E134" s="31"/>
    </row>
    <row r="135" spans="2:5">
      <c r="B135" s="31"/>
      <c r="C135" s="31"/>
      <c r="D135" s="31"/>
      <c r="E135" s="31"/>
    </row>
    <row r="136" spans="2:5">
      <c r="B136" s="31"/>
      <c r="C136" s="31"/>
      <c r="D136" s="31"/>
      <c r="E136" s="31"/>
    </row>
    <row r="137" spans="2:5">
      <c r="B137" s="31"/>
      <c r="C137" s="31"/>
      <c r="D137" s="31"/>
      <c r="E137" s="31"/>
    </row>
    <row r="138" spans="2:5">
      <c r="B138" s="31"/>
      <c r="C138" s="31"/>
      <c r="D138" s="31"/>
      <c r="E138" s="31"/>
    </row>
    <row r="139" spans="2:5">
      <c r="B139" s="31"/>
      <c r="C139" s="31"/>
      <c r="D139" s="31"/>
      <c r="E139" s="31"/>
    </row>
    <row r="140" spans="2:5">
      <c r="B140" s="31"/>
      <c r="C140" s="31"/>
      <c r="D140" s="31"/>
      <c r="E140" s="31"/>
    </row>
    <row r="141" spans="2:5">
      <c r="B141" s="31"/>
      <c r="C141" s="31"/>
      <c r="D141" s="31"/>
      <c r="E141" s="31"/>
    </row>
    <row r="142" spans="2:5">
      <c r="B142" s="31"/>
      <c r="C142" s="31"/>
      <c r="D142" s="31"/>
      <c r="E142" s="31"/>
    </row>
    <row r="143" spans="2:5">
      <c r="B143" s="31"/>
      <c r="C143" s="31"/>
      <c r="D143" s="31"/>
      <c r="E143" s="31"/>
    </row>
    <row r="144" spans="2:5">
      <c r="B144" s="31"/>
      <c r="C144" s="31"/>
      <c r="D144" s="31"/>
      <c r="E144" s="31"/>
    </row>
    <row r="145" spans="2:5">
      <c r="B145" s="31"/>
      <c r="C145" s="31"/>
      <c r="D145" s="31"/>
      <c r="E145" s="31"/>
    </row>
    <row r="146" spans="2:5">
      <c r="B146" s="31"/>
      <c r="C146" s="31"/>
      <c r="D146" s="31"/>
      <c r="E146" s="31"/>
    </row>
    <row r="147" spans="2:5">
      <c r="B147" s="31"/>
      <c r="C147" s="31"/>
      <c r="D147" s="31"/>
      <c r="E147" s="31"/>
    </row>
    <row r="148" spans="2:5">
      <c r="B148" s="31"/>
      <c r="C148" s="31"/>
      <c r="D148" s="31"/>
      <c r="E148" s="31"/>
    </row>
    <row r="149" spans="2:5">
      <c r="B149" s="31"/>
      <c r="C149" s="31"/>
      <c r="D149" s="31"/>
      <c r="E149" s="31"/>
    </row>
    <row r="150" spans="2:5">
      <c r="B150" s="31"/>
      <c r="C150" s="31"/>
      <c r="D150" s="31"/>
      <c r="E150" s="31"/>
    </row>
    <row r="151" spans="2:5">
      <c r="B151" s="31"/>
      <c r="C151" s="31"/>
      <c r="D151" s="31"/>
      <c r="E151" s="31"/>
    </row>
    <row r="152" spans="2:5">
      <c r="B152" s="31"/>
      <c r="C152" s="31"/>
      <c r="D152" s="31"/>
      <c r="E152" s="31"/>
    </row>
    <row r="153" spans="2:5">
      <c r="B153" s="31"/>
      <c r="C153" s="31"/>
      <c r="D153" s="31"/>
      <c r="E153" s="31"/>
    </row>
    <row r="154" spans="2:5">
      <c r="B154" s="31"/>
      <c r="C154" s="31"/>
      <c r="D154" s="31"/>
      <c r="E154" s="31"/>
    </row>
    <row r="155" spans="2:5">
      <c r="B155" s="31"/>
      <c r="C155" s="31"/>
      <c r="D155" s="31"/>
      <c r="E155" s="31"/>
    </row>
    <row r="156" spans="2:5">
      <c r="B156" s="31"/>
      <c r="C156" s="31"/>
      <c r="D156" s="31"/>
      <c r="E156" s="31"/>
    </row>
    <row r="157" spans="2:5">
      <c r="B157" s="31"/>
      <c r="C157" s="31"/>
      <c r="D157" s="31"/>
      <c r="E157" s="31"/>
    </row>
    <row r="158" spans="2:5">
      <c r="B158" s="31"/>
      <c r="C158" s="31"/>
      <c r="D158" s="31"/>
      <c r="E158" s="31"/>
    </row>
    <row r="159" spans="2:5">
      <c r="B159" s="31"/>
      <c r="C159" s="31"/>
      <c r="D159" s="31"/>
      <c r="E159" s="31"/>
    </row>
    <row r="160" spans="2:5">
      <c r="B160" s="31"/>
      <c r="C160" s="31"/>
      <c r="D160" s="31"/>
      <c r="E160" s="31"/>
    </row>
    <row r="161" spans="2:5">
      <c r="B161" s="31"/>
      <c r="C161" s="31"/>
      <c r="D161" s="31"/>
      <c r="E161" s="31"/>
    </row>
    <row r="162" spans="2:5">
      <c r="B162" s="31"/>
      <c r="C162" s="31"/>
      <c r="D162" s="31"/>
      <c r="E162" s="31"/>
    </row>
  </sheetData>
  <pageMargins left="0.7" right="0.7" top="0.75" bottom="0.75" header="0.3" footer="0.3"/>
  <pageSetup scale="51" orientation="landscape" horizontalDpi="300" verticalDpi="300" r:id="rId1"/>
  <rowBreaks count="1" manualBreakCount="1">
    <brk id="54" max="16383" man="1"/>
  </rowBreaks>
  <drawing r:id="rId2"/>
  <legacyDrawing r:id="rId3"/>
  <controls>
    <control shapeId="1026" r:id="rId4" name="CommandButton1"/>
    <control shapeId="1028" r:id="rId5" name="CommandButton2"/>
  </controls>
  <extLst xmlns:x14="http://schemas.microsoft.com/office/spreadsheetml/2009/9/main">
    <ext uri="{CCE6A557-97BC-4b89-ADB6-D9C93CAAB3DF}">
      <x14:dataValidations xmlns:xm="http://schemas.microsoft.com/office/excel/2006/main" count="1">
        <x14:dataValidation type="list" allowBlank="1" showErrorMessage="1">
          <x14:formula1>
            <xm:f>RiskLevelOptions!$A$1:$A$19</xm:f>
          </x14:formula1>
          <xm:sqref>N11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BZ205"/>
  <sheetViews>
    <sheetView topLeftCell="A4" workbookViewId="0">
      <selection sqref="A1:XFD3"/>
    </sheetView>
  </sheetViews>
  <sheetFormatPr defaultColWidth="8.85546875" defaultRowHeight="12.75"/>
  <cols>
    <col min="1" max="1" width="25.5703125" style="9" bestFit="1" customWidth="1"/>
    <col min="2" max="2" width="15.42578125" style="30" customWidth="1"/>
    <col min="3" max="3" width="15.85546875" style="30" customWidth="1"/>
    <col min="4" max="4" width="15.7109375" style="9" customWidth="1"/>
    <col min="5" max="5" width="17" style="9" customWidth="1"/>
    <col min="6" max="6" width="16.85546875" style="9" customWidth="1"/>
    <col min="7" max="7" width="14.7109375" style="9" customWidth="1"/>
    <col min="8" max="8" width="10.85546875" style="9" customWidth="1"/>
    <col min="9" max="9" width="11.140625" style="9" customWidth="1"/>
    <col min="10" max="10" width="15.85546875" style="9" customWidth="1"/>
    <col min="11" max="12" width="12.85546875" style="9" customWidth="1"/>
    <col min="13" max="13" width="11" style="9" customWidth="1"/>
    <col min="14" max="16" width="8.85546875" style="9" customWidth="1"/>
    <col min="17" max="17" width="11" style="9" customWidth="1"/>
    <col min="18" max="19" width="8.85546875" style="9" customWidth="1"/>
    <col min="20" max="20" width="10.28515625" style="9" customWidth="1"/>
    <col min="21" max="42" width="8.85546875" style="9" customWidth="1"/>
    <col min="43" max="44" width="8.85546875" style="9"/>
    <col min="45" max="48" width="0" style="9" hidden="1" customWidth="1"/>
    <col min="49" max="56" width="8.85546875" style="9"/>
    <col min="57" max="60" width="9" style="9" bestFit="1" customWidth="1"/>
    <col min="61" max="62" width="11.28515625" style="9" bestFit="1" customWidth="1"/>
    <col min="63" max="63" width="10.140625" style="9" bestFit="1" customWidth="1"/>
    <col min="64" max="64" width="9" style="9" bestFit="1" customWidth="1"/>
    <col min="65" max="65" width="10.140625" style="9" customWidth="1"/>
    <col min="66" max="66" width="6.28515625" style="9" customWidth="1"/>
    <col min="67" max="67" width="9.7109375" style="9" customWidth="1"/>
    <col min="68" max="16384" width="8.85546875" style="9"/>
  </cols>
  <sheetData>
    <row r="1" spans="1:78" hidden="1">
      <c r="A1" s="9" t="s">
        <v>46</v>
      </c>
      <c r="B1" s="9"/>
      <c r="C1" s="9"/>
      <c r="I1" s="10"/>
      <c r="J1" s="10"/>
      <c r="K1" s="11"/>
      <c r="L1" s="11"/>
      <c r="M1" s="11"/>
      <c r="N1" s="11"/>
      <c r="O1" s="11"/>
      <c r="P1" s="11"/>
      <c r="Q1" s="11"/>
      <c r="R1" s="11"/>
      <c r="S1" s="11"/>
      <c r="T1" s="12"/>
    </row>
    <row r="2" spans="1:78" ht="15" hidden="1">
      <c r="B2" s="9"/>
      <c r="C2" s="9"/>
      <c r="H2" s="10"/>
      <c r="I2" s="10"/>
      <c r="J2" s="10"/>
      <c r="K2" s="13"/>
      <c r="L2" s="14"/>
      <c r="M2" s="14"/>
      <c r="N2" s="14"/>
      <c r="O2" s="14"/>
      <c r="P2" s="14"/>
      <c r="Q2" s="14"/>
      <c r="R2" s="14"/>
      <c r="S2" s="14"/>
      <c r="T2" s="15"/>
      <c r="AB2" s="16"/>
    </row>
    <row r="3" spans="1:78" ht="15" hidden="1">
      <c r="B3" s="9"/>
      <c r="C3" s="9"/>
      <c r="H3" s="10"/>
      <c r="J3" s="10"/>
      <c r="K3" s="13"/>
      <c r="L3" s="14"/>
      <c r="M3" s="14"/>
      <c r="N3" s="14"/>
      <c r="O3" s="14"/>
      <c r="P3" s="14"/>
      <c r="Q3" s="14"/>
      <c r="R3" s="14"/>
      <c r="S3" s="14"/>
      <c r="T3" s="15"/>
      <c r="AB3" s="16"/>
    </row>
    <row r="4" spans="1:78" ht="15">
      <c r="B4" s="9"/>
      <c r="C4" s="9"/>
      <c r="K4" s="13"/>
      <c r="L4" s="14"/>
      <c r="M4" s="14"/>
      <c r="N4" s="14"/>
      <c r="O4" s="14"/>
      <c r="P4" s="14"/>
      <c r="Q4" s="14"/>
      <c r="R4" s="14"/>
      <c r="S4" s="14"/>
      <c r="T4" s="15"/>
      <c r="AB4" s="16"/>
    </row>
    <row r="5" spans="1:78" ht="15">
      <c r="B5" s="9"/>
      <c r="C5" s="9"/>
      <c r="K5" s="13"/>
      <c r="L5" s="14"/>
      <c r="M5" s="14"/>
      <c r="N5" s="14"/>
      <c r="O5" s="14"/>
      <c r="P5" s="14"/>
      <c r="Q5" s="14"/>
      <c r="R5" s="14"/>
      <c r="S5" s="14"/>
      <c r="T5" s="15"/>
      <c r="AB5" s="16"/>
    </row>
    <row r="6" spans="1:78" ht="15">
      <c r="B6" s="9"/>
      <c r="C6" s="9"/>
      <c r="K6" s="13"/>
      <c r="L6" s="14"/>
      <c r="M6" s="14"/>
      <c r="N6" s="14"/>
      <c r="O6" s="14"/>
      <c r="P6" s="14"/>
      <c r="Q6" s="14"/>
      <c r="R6" s="14"/>
      <c r="S6" s="14"/>
      <c r="T6" s="15"/>
      <c r="U6" s="16"/>
      <c r="AB6" s="16"/>
    </row>
    <row r="7" spans="1:78" ht="15">
      <c r="B7" s="9"/>
      <c r="C7" s="9"/>
      <c r="K7" s="13"/>
      <c r="L7" s="14"/>
      <c r="M7" s="14"/>
      <c r="N7" s="14"/>
      <c r="O7" s="14"/>
      <c r="P7" s="14"/>
      <c r="Q7" s="14"/>
      <c r="R7" s="14"/>
      <c r="S7" s="14"/>
      <c r="T7" s="15"/>
      <c r="U7" s="16"/>
      <c r="AB7" s="16"/>
    </row>
    <row r="8" spans="1:78">
      <c r="B8" s="9"/>
      <c r="C8" s="9"/>
    </row>
    <row r="9" spans="1:78">
      <c r="A9" s="10"/>
      <c r="B9" s="9"/>
      <c r="C9" s="9"/>
    </row>
    <row r="10" spans="1:78">
      <c r="A10" s="10"/>
      <c r="B10" s="9"/>
      <c r="C10" s="9"/>
    </row>
    <row r="11" spans="1:78">
      <c r="A11" s="10"/>
      <c r="B11" s="9"/>
      <c r="C11" s="9"/>
    </row>
    <row r="12" spans="1:78">
      <c r="B12" s="9"/>
      <c r="C12" s="9"/>
    </row>
    <row r="13" spans="1:78" s="17" customFormat="1" ht="15">
      <c r="A13" s="17" t="s">
        <v>15</v>
      </c>
      <c r="B13" s="18">
        <v>12102208</v>
      </c>
      <c r="C13" s="18">
        <v>12965138</v>
      </c>
      <c r="D13" s="18">
        <v>14186895</v>
      </c>
      <c r="E13" s="18">
        <v>13509491</v>
      </c>
      <c r="F13" s="18">
        <v>13671644</v>
      </c>
      <c r="G13" s="18">
        <v>13551136</v>
      </c>
      <c r="H13" s="18">
        <v>12569898</v>
      </c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 s="18"/>
      <c r="BO13" s="18"/>
      <c r="BP13" s="18"/>
      <c r="BQ13" s="18"/>
      <c r="BR13" s="18"/>
      <c r="BS13" s="18"/>
      <c r="BT13" s="18"/>
      <c r="BU13" s="18"/>
      <c r="BV13" s="18"/>
      <c r="BW13" s="18"/>
      <c r="BX13" s="18"/>
      <c r="BY13" s="18"/>
      <c r="BZ13" s="18"/>
    </row>
    <row r="14" spans="1:78" s="17" customFormat="1" ht="15">
      <c r="A14" s="17" t="s">
        <v>29</v>
      </c>
      <c r="B14" s="18">
        <v>57.04</v>
      </c>
      <c r="C14" s="18">
        <v>72.75</v>
      </c>
      <c r="D14" s="18">
        <v>121.79</v>
      </c>
      <c r="E14" s="18">
        <v>89.3</v>
      </c>
      <c r="F14" s="18">
        <v>81.709999999999994</v>
      </c>
      <c r="G14" s="18">
        <v>67.33</v>
      </c>
      <c r="H14" s="18">
        <v>58.09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 s="18"/>
      <c r="BO14" s="18"/>
      <c r="BP14" s="18"/>
      <c r="BQ14" s="18"/>
      <c r="BR14" s="18"/>
      <c r="BS14" s="18"/>
      <c r="BT14" s="18"/>
      <c r="BU14" s="18"/>
      <c r="BV14" s="18"/>
      <c r="BW14" s="18"/>
      <c r="BX14" s="18"/>
      <c r="BY14" s="18"/>
      <c r="BZ14" s="18"/>
    </row>
    <row r="15" spans="1:78" s="20" customFormat="1" ht="15">
      <c r="A15" s="19" t="s">
        <v>27</v>
      </c>
      <c r="B15">
        <v>0.27</v>
      </c>
      <c r="C15">
        <v>0.32</v>
      </c>
      <c r="D15">
        <v>0.11</v>
      </c>
      <c r="E15">
        <v>0.3</v>
      </c>
      <c r="F15">
        <v>0.36</v>
      </c>
      <c r="G15">
        <v>0.38</v>
      </c>
      <c r="H15">
        <v>0.36</v>
      </c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</row>
    <row r="16" spans="1:78" s="20" customFormat="1" ht="15">
      <c r="A16" s="19" t="s">
        <v>28</v>
      </c>
      <c r="B16">
        <v>1.72</v>
      </c>
      <c r="C16">
        <v>1.22</v>
      </c>
      <c r="D16">
        <v>1.1200000000000001</v>
      </c>
      <c r="E16">
        <v>1.65</v>
      </c>
      <c r="F16">
        <v>1.27</v>
      </c>
      <c r="G16">
        <v>1.34</v>
      </c>
      <c r="H16">
        <v>1.1599999999999999</v>
      </c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</row>
    <row r="17" spans="1:78" s="20" customFormat="1" ht="15">
      <c r="A17" s="19" t="s">
        <v>6</v>
      </c>
      <c r="B17">
        <v>43.1</v>
      </c>
      <c r="C17">
        <v>284.39999999999998</v>
      </c>
      <c r="D17">
        <v>100.8</v>
      </c>
      <c r="E17">
        <v>352.5</v>
      </c>
      <c r="F17">
        <v>320.5</v>
      </c>
      <c r="G17">
        <v>366.8</v>
      </c>
      <c r="H17">
        <v>1027.3</v>
      </c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</row>
    <row r="18" spans="1:78" s="20" customFormat="1" ht="15">
      <c r="A18" s="19" t="s">
        <v>16</v>
      </c>
      <c r="B18">
        <v>172.72</v>
      </c>
      <c r="C18">
        <v>347.92399999999998</v>
      </c>
      <c r="D18">
        <v>159.63800000000001</v>
      </c>
      <c r="E18">
        <v>322.10000000000002</v>
      </c>
      <c r="F18">
        <v>159.851</v>
      </c>
      <c r="G18">
        <v>227.64599999999999</v>
      </c>
      <c r="H18">
        <v>642.77700000000004</v>
      </c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</row>
    <row r="19" spans="1:78" s="20" customFormat="1" ht="15">
      <c r="A19" s="19" t="s">
        <v>8</v>
      </c>
      <c r="B19">
        <v>198.703</v>
      </c>
      <c r="C19">
        <v>388.43900000000002</v>
      </c>
      <c r="D19">
        <v>272.02499999999998</v>
      </c>
      <c r="E19">
        <v>436.33699999999999</v>
      </c>
      <c r="F19">
        <v>169.90100000000001</v>
      </c>
      <c r="G19">
        <v>262.298</v>
      </c>
      <c r="H19">
        <v>790.39400000000001</v>
      </c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</row>
    <row r="20" spans="1:78" s="20" customFormat="1" ht="15">
      <c r="A20" s="21" t="s">
        <v>17</v>
      </c>
      <c r="B20">
        <v>331.553</v>
      </c>
      <c r="C20">
        <v>603.53</v>
      </c>
      <c r="D20">
        <v>379.56299999999999</v>
      </c>
      <c r="E20">
        <v>706.05399999999997</v>
      </c>
      <c r="F20">
        <v>180.15600000000001</v>
      </c>
      <c r="G20">
        <v>298.38900000000001</v>
      </c>
      <c r="H20">
        <v>946.74099999999999</v>
      </c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</row>
    <row r="21" spans="1:78" s="20" customFormat="1" ht="15">
      <c r="A21" s="21" t="s">
        <v>10</v>
      </c>
      <c r="B21">
        <v>367.03</v>
      </c>
      <c r="C21">
        <v>650.93899999999996</v>
      </c>
      <c r="D21">
        <v>489.02199999999999</v>
      </c>
      <c r="E21">
        <v>860.50099999999998</v>
      </c>
      <c r="F21">
        <v>196.48400000000001</v>
      </c>
      <c r="G21">
        <v>334.97</v>
      </c>
      <c r="H21">
        <v>1226.2470000000001</v>
      </c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</row>
    <row r="22" spans="1:78" s="20" customFormat="1" ht="15">
      <c r="A22" s="21" t="s">
        <v>18</v>
      </c>
      <c r="B22">
        <v>1919.328</v>
      </c>
      <c r="C22">
        <v>1859.808</v>
      </c>
      <c r="D22">
        <v>1879.8320000000001</v>
      </c>
      <c r="E22">
        <v>2189.558</v>
      </c>
      <c r="F22">
        <v>455.428</v>
      </c>
      <c r="G22">
        <v>540.26400000000001</v>
      </c>
      <c r="H22">
        <v>2053.1579999999999</v>
      </c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</row>
    <row r="23" spans="1:78" s="20" customFormat="1" ht="15">
      <c r="A23" s="21" t="s">
        <v>12</v>
      </c>
      <c r="B23">
        <v>0</v>
      </c>
      <c r="C23">
        <v>0</v>
      </c>
      <c r="D23">
        <v>0</v>
      </c>
      <c r="E23">
        <v>0.08</v>
      </c>
      <c r="F23">
        <v>0.86</v>
      </c>
      <c r="G23">
        <v>0.78</v>
      </c>
      <c r="H23">
        <v>0.56999999999999995</v>
      </c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</row>
    <row r="24" spans="1:78" ht="15">
      <c r="A24" s="19" t="s">
        <v>19</v>
      </c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</row>
    <row r="25" spans="1:78">
      <c r="A25" s="22" t="s">
        <v>20</v>
      </c>
      <c r="B25" s="9">
        <f t="shared" ref="B25:BM25" si="0">B19</f>
        <v>198.703</v>
      </c>
      <c r="C25" s="9">
        <f t="shared" si="0"/>
        <v>388.43900000000002</v>
      </c>
      <c r="D25" s="9">
        <f t="shared" si="0"/>
        <v>272.02499999999998</v>
      </c>
      <c r="E25" s="9">
        <f t="shared" si="0"/>
        <v>436.33699999999999</v>
      </c>
      <c r="F25" s="9">
        <f t="shared" si="0"/>
        <v>169.90100000000001</v>
      </c>
      <c r="G25" s="9">
        <f t="shared" si="0"/>
        <v>262.298</v>
      </c>
      <c r="H25" s="9">
        <f t="shared" si="0"/>
        <v>790.39400000000001</v>
      </c>
      <c r="I25" s="9">
        <f t="shared" si="0"/>
        <v>0</v>
      </c>
      <c r="J25" s="9">
        <f t="shared" si="0"/>
        <v>0</v>
      </c>
      <c r="K25" s="9">
        <f t="shared" si="0"/>
        <v>0</v>
      </c>
      <c r="L25" s="9">
        <f t="shared" si="0"/>
        <v>0</v>
      </c>
      <c r="M25" s="9">
        <f t="shared" si="0"/>
        <v>0</v>
      </c>
      <c r="N25" s="9">
        <f t="shared" si="0"/>
        <v>0</v>
      </c>
      <c r="O25" s="9">
        <f t="shared" si="0"/>
        <v>0</v>
      </c>
      <c r="P25" s="9">
        <f t="shared" si="0"/>
        <v>0</v>
      </c>
      <c r="Q25" s="9">
        <f t="shared" si="0"/>
        <v>0</v>
      </c>
      <c r="R25" s="9">
        <f t="shared" si="0"/>
        <v>0</v>
      </c>
      <c r="S25" s="9">
        <f t="shared" si="0"/>
        <v>0</v>
      </c>
      <c r="T25" s="9">
        <f t="shared" si="0"/>
        <v>0</v>
      </c>
      <c r="U25" s="9">
        <f t="shared" si="0"/>
        <v>0</v>
      </c>
      <c r="V25" s="9">
        <f t="shared" si="0"/>
        <v>0</v>
      </c>
      <c r="W25" s="9">
        <f t="shared" si="0"/>
        <v>0</v>
      </c>
      <c r="X25" s="9">
        <f t="shared" si="0"/>
        <v>0</v>
      </c>
      <c r="Y25" s="9">
        <f t="shared" si="0"/>
        <v>0</v>
      </c>
      <c r="Z25" s="9">
        <f t="shared" si="0"/>
        <v>0</v>
      </c>
      <c r="AA25" s="9">
        <f t="shared" si="0"/>
        <v>0</v>
      </c>
      <c r="AB25" s="9">
        <f t="shared" si="0"/>
        <v>0</v>
      </c>
      <c r="AC25" s="9">
        <f t="shared" si="0"/>
        <v>0</v>
      </c>
      <c r="AD25" s="9">
        <f t="shared" si="0"/>
        <v>0</v>
      </c>
      <c r="AE25" s="9">
        <f t="shared" si="0"/>
        <v>0</v>
      </c>
      <c r="AF25" s="9">
        <f t="shared" si="0"/>
        <v>0</v>
      </c>
      <c r="AG25" s="9">
        <f t="shared" si="0"/>
        <v>0</v>
      </c>
      <c r="AH25" s="9">
        <f t="shared" si="0"/>
        <v>0</v>
      </c>
      <c r="AI25" s="9">
        <f t="shared" si="0"/>
        <v>0</v>
      </c>
      <c r="AJ25" s="9">
        <f t="shared" si="0"/>
        <v>0</v>
      </c>
      <c r="AK25" s="9">
        <f t="shared" si="0"/>
        <v>0</v>
      </c>
      <c r="AL25" s="9">
        <f t="shared" si="0"/>
        <v>0</v>
      </c>
      <c r="AM25" s="9">
        <f t="shared" si="0"/>
        <v>0</v>
      </c>
      <c r="AN25" s="9">
        <f t="shared" si="0"/>
        <v>0</v>
      </c>
      <c r="AO25" s="9">
        <f t="shared" si="0"/>
        <v>0</v>
      </c>
      <c r="AP25" s="9">
        <f t="shared" si="0"/>
        <v>0</v>
      </c>
      <c r="AQ25" s="9">
        <f t="shared" si="0"/>
        <v>0</v>
      </c>
      <c r="AR25" s="9">
        <f t="shared" si="0"/>
        <v>0</v>
      </c>
      <c r="AS25" s="9">
        <f t="shared" si="0"/>
        <v>0</v>
      </c>
      <c r="AT25" s="9">
        <f t="shared" si="0"/>
        <v>0</v>
      </c>
      <c r="AU25" s="9">
        <f t="shared" si="0"/>
        <v>0</v>
      </c>
      <c r="AV25" s="9">
        <f t="shared" si="0"/>
        <v>0</v>
      </c>
      <c r="AW25" s="9">
        <f t="shared" si="0"/>
        <v>0</v>
      </c>
      <c r="AX25" s="9">
        <f t="shared" si="0"/>
        <v>0</v>
      </c>
      <c r="AY25" s="9">
        <f t="shared" si="0"/>
        <v>0</v>
      </c>
      <c r="AZ25" s="9">
        <f t="shared" si="0"/>
        <v>0</v>
      </c>
      <c r="BA25" s="9">
        <f t="shared" si="0"/>
        <v>0</v>
      </c>
      <c r="BB25" s="9">
        <f t="shared" si="0"/>
        <v>0</v>
      </c>
      <c r="BC25" s="9">
        <f t="shared" si="0"/>
        <v>0</v>
      </c>
      <c r="BD25" s="9">
        <f t="shared" si="0"/>
        <v>0</v>
      </c>
      <c r="BE25" s="9">
        <f t="shared" si="0"/>
        <v>0</v>
      </c>
      <c r="BF25" s="9">
        <f t="shared" si="0"/>
        <v>0</v>
      </c>
      <c r="BG25" s="9">
        <f t="shared" si="0"/>
        <v>0</v>
      </c>
      <c r="BH25" s="9">
        <f t="shared" si="0"/>
        <v>0</v>
      </c>
      <c r="BI25" s="9">
        <f t="shared" si="0"/>
        <v>0</v>
      </c>
      <c r="BJ25" s="9">
        <f t="shared" si="0"/>
        <v>0</v>
      </c>
      <c r="BK25" s="9">
        <f t="shared" si="0"/>
        <v>0</v>
      </c>
      <c r="BL25" s="9">
        <f t="shared" si="0"/>
        <v>0</v>
      </c>
      <c r="BM25" s="9">
        <f t="shared" si="0"/>
        <v>0</v>
      </c>
      <c r="BN25" s="9">
        <f t="shared" ref="BN25:BZ25" si="1">BN19</f>
        <v>0</v>
      </c>
      <c r="BO25" s="9">
        <f t="shared" si="1"/>
        <v>0</v>
      </c>
      <c r="BP25" s="9">
        <f t="shared" si="1"/>
        <v>0</v>
      </c>
      <c r="BQ25" s="9">
        <f t="shared" si="1"/>
        <v>0</v>
      </c>
      <c r="BR25" s="9">
        <f t="shared" si="1"/>
        <v>0</v>
      </c>
      <c r="BS25" s="9">
        <f t="shared" si="1"/>
        <v>0</v>
      </c>
      <c r="BT25" s="9">
        <f t="shared" si="1"/>
        <v>0</v>
      </c>
      <c r="BU25" s="9">
        <f t="shared" si="1"/>
        <v>0</v>
      </c>
      <c r="BV25" s="9">
        <f t="shared" si="1"/>
        <v>0</v>
      </c>
      <c r="BW25" s="9">
        <f t="shared" si="1"/>
        <v>0</v>
      </c>
      <c r="BX25" s="9">
        <f t="shared" si="1"/>
        <v>0</v>
      </c>
      <c r="BY25" s="9">
        <f t="shared" si="1"/>
        <v>0</v>
      </c>
      <c r="BZ25" s="9">
        <f t="shared" si="1"/>
        <v>0</v>
      </c>
    </row>
    <row r="26" spans="1:78">
      <c r="A26" s="22" t="s">
        <v>21</v>
      </c>
      <c r="B26" s="9">
        <f t="shared" ref="B26:BM27" si="2">B20-B19</f>
        <v>132.85</v>
      </c>
      <c r="C26" s="9">
        <f t="shared" si="2"/>
        <v>215.09099999999995</v>
      </c>
      <c r="D26" s="9">
        <f t="shared" si="2"/>
        <v>107.53800000000001</v>
      </c>
      <c r="E26" s="9">
        <f t="shared" si="2"/>
        <v>269.71699999999998</v>
      </c>
      <c r="F26" s="9">
        <f t="shared" si="2"/>
        <v>10.254999999999995</v>
      </c>
      <c r="G26" s="9">
        <f t="shared" si="2"/>
        <v>36.091000000000008</v>
      </c>
      <c r="H26" s="9">
        <f t="shared" si="2"/>
        <v>156.34699999999998</v>
      </c>
      <c r="I26" s="9">
        <f t="shared" si="2"/>
        <v>0</v>
      </c>
      <c r="J26" s="9">
        <f t="shared" si="2"/>
        <v>0</v>
      </c>
      <c r="K26" s="9">
        <f t="shared" si="2"/>
        <v>0</v>
      </c>
      <c r="L26" s="9">
        <f t="shared" si="2"/>
        <v>0</v>
      </c>
      <c r="M26" s="9">
        <f t="shared" si="2"/>
        <v>0</v>
      </c>
      <c r="N26" s="9">
        <f t="shared" si="2"/>
        <v>0</v>
      </c>
      <c r="O26" s="9">
        <f t="shared" si="2"/>
        <v>0</v>
      </c>
      <c r="P26" s="9">
        <f t="shared" si="2"/>
        <v>0</v>
      </c>
      <c r="Q26" s="9">
        <f t="shared" si="2"/>
        <v>0</v>
      </c>
      <c r="R26" s="9">
        <f t="shared" si="2"/>
        <v>0</v>
      </c>
      <c r="S26" s="9">
        <f t="shared" si="2"/>
        <v>0</v>
      </c>
      <c r="T26" s="9">
        <f t="shared" si="2"/>
        <v>0</v>
      </c>
      <c r="U26" s="9">
        <f t="shared" si="2"/>
        <v>0</v>
      </c>
      <c r="V26" s="9">
        <f t="shared" si="2"/>
        <v>0</v>
      </c>
      <c r="W26" s="9">
        <f t="shared" si="2"/>
        <v>0</v>
      </c>
      <c r="X26" s="9">
        <f t="shared" si="2"/>
        <v>0</v>
      </c>
      <c r="Y26" s="9">
        <f t="shared" si="2"/>
        <v>0</v>
      </c>
      <c r="Z26" s="9">
        <f t="shared" si="2"/>
        <v>0</v>
      </c>
      <c r="AA26" s="9">
        <f t="shared" si="2"/>
        <v>0</v>
      </c>
      <c r="AB26" s="9">
        <f t="shared" si="2"/>
        <v>0</v>
      </c>
      <c r="AC26" s="9">
        <f t="shared" si="2"/>
        <v>0</v>
      </c>
      <c r="AD26" s="9">
        <f t="shared" si="2"/>
        <v>0</v>
      </c>
      <c r="AE26" s="9">
        <f t="shared" si="2"/>
        <v>0</v>
      </c>
      <c r="AF26" s="9">
        <f t="shared" si="2"/>
        <v>0</v>
      </c>
      <c r="AG26" s="9">
        <f t="shared" si="2"/>
        <v>0</v>
      </c>
      <c r="AH26" s="9">
        <f t="shared" si="2"/>
        <v>0</v>
      </c>
      <c r="AI26" s="9">
        <f t="shared" si="2"/>
        <v>0</v>
      </c>
      <c r="AJ26" s="9">
        <f t="shared" si="2"/>
        <v>0</v>
      </c>
      <c r="AK26" s="9">
        <f t="shared" si="2"/>
        <v>0</v>
      </c>
      <c r="AL26" s="9">
        <f t="shared" si="2"/>
        <v>0</v>
      </c>
      <c r="AM26" s="9">
        <f t="shared" si="2"/>
        <v>0</v>
      </c>
      <c r="AN26" s="9">
        <f t="shared" si="2"/>
        <v>0</v>
      </c>
      <c r="AO26" s="9">
        <f t="shared" si="2"/>
        <v>0</v>
      </c>
      <c r="AP26" s="9">
        <f t="shared" si="2"/>
        <v>0</v>
      </c>
      <c r="AQ26" s="9">
        <f t="shared" si="2"/>
        <v>0</v>
      </c>
      <c r="AR26" s="9">
        <f t="shared" si="2"/>
        <v>0</v>
      </c>
      <c r="AS26" s="9">
        <f t="shared" si="2"/>
        <v>0</v>
      </c>
      <c r="AT26" s="9">
        <f t="shared" si="2"/>
        <v>0</v>
      </c>
      <c r="AU26" s="9">
        <f t="shared" si="2"/>
        <v>0</v>
      </c>
      <c r="AV26" s="9">
        <f t="shared" si="2"/>
        <v>0</v>
      </c>
      <c r="AW26" s="9">
        <f t="shared" si="2"/>
        <v>0</v>
      </c>
      <c r="AX26" s="9">
        <f t="shared" si="2"/>
        <v>0</v>
      </c>
      <c r="AY26" s="9">
        <f t="shared" si="2"/>
        <v>0</v>
      </c>
      <c r="AZ26" s="9">
        <f t="shared" si="2"/>
        <v>0</v>
      </c>
      <c r="BA26" s="9">
        <f t="shared" si="2"/>
        <v>0</v>
      </c>
      <c r="BB26" s="9">
        <f t="shared" si="2"/>
        <v>0</v>
      </c>
      <c r="BC26" s="9">
        <f t="shared" si="2"/>
        <v>0</v>
      </c>
      <c r="BD26" s="9">
        <f t="shared" si="2"/>
        <v>0</v>
      </c>
      <c r="BE26" s="9">
        <f t="shared" si="2"/>
        <v>0</v>
      </c>
      <c r="BF26" s="9">
        <f t="shared" si="2"/>
        <v>0</v>
      </c>
      <c r="BG26" s="9">
        <f t="shared" si="2"/>
        <v>0</v>
      </c>
      <c r="BH26" s="9">
        <f t="shared" si="2"/>
        <v>0</v>
      </c>
      <c r="BI26" s="9">
        <f t="shared" si="2"/>
        <v>0</v>
      </c>
      <c r="BJ26" s="9">
        <f t="shared" si="2"/>
        <v>0</v>
      </c>
      <c r="BK26" s="9">
        <f t="shared" si="2"/>
        <v>0</v>
      </c>
      <c r="BL26" s="9">
        <f t="shared" si="2"/>
        <v>0</v>
      </c>
      <c r="BM26" s="9">
        <f t="shared" si="2"/>
        <v>0</v>
      </c>
      <c r="BN26" s="9">
        <f t="shared" ref="BN26:BZ27" si="3">BN20-BN19</f>
        <v>0</v>
      </c>
      <c r="BO26" s="9">
        <f t="shared" si="3"/>
        <v>0</v>
      </c>
      <c r="BP26" s="9">
        <f t="shared" si="3"/>
        <v>0</v>
      </c>
      <c r="BQ26" s="9">
        <f t="shared" si="3"/>
        <v>0</v>
      </c>
      <c r="BR26" s="9">
        <f t="shared" si="3"/>
        <v>0</v>
      </c>
      <c r="BS26" s="9">
        <f t="shared" si="3"/>
        <v>0</v>
      </c>
      <c r="BT26" s="9">
        <f t="shared" si="3"/>
        <v>0</v>
      </c>
      <c r="BU26" s="9">
        <f t="shared" si="3"/>
        <v>0</v>
      </c>
      <c r="BV26" s="9">
        <f t="shared" si="3"/>
        <v>0</v>
      </c>
      <c r="BW26" s="9">
        <f t="shared" si="3"/>
        <v>0</v>
      </c>
      <c r="BX26" s="9">
        <f t="shared" si="3"/>
        <v>0</v>
      </c>
      <c r="BY26" s="9">
        <f t="shared" si="3"/>
        <v>0</v>
      </c>
      <c r="BZ26" s="9">
        <f t="shared" si="3"/>
        <v>0</v>
      </c>
    </row>
    <row r="27" spans="1:78">
      <c r="A27" s="22" t="s">
        <v>22</v>
      </c>
      <c r="B27" s="9">
        <f t="shared" si="2"/>
        <v>35.476999999999975</v>
      </c>
      <c r="C27" s="9">
        <f t="shared" si="2"/>
        <v>47.408999999999992</v>
      </c>
      <c r="D27" s="9">
        <f t="shared" si="2"/>
        <v>109.459</v>
      </c>
      <c r="E27" s="9">
        <f t="shared" si="2"/>
        <v>154.447</v>
      </c>
      <c r="F27" s="9">
        <f t="shared" si="2"/>
        <v>16.328000000000003</v>
      </c>
      <c r="G27" s="9">
        <f t="shared" si="2"/>
        <v>36.581000000000017</v>
      </c>
      <c r="H27" s="9">
        <f t="shared" si="2"/>
        <v>279.50600000000009</v>
      </c>
      <c r="I27" s="9">
        <f t="shared" si="2"/>
        <v>0</v>
      </c>
      <c r="J27" s="9">
        <f t="shared" si="2"/>
        <v>0</v>
      </c>
      <c r="K27" s="9">
        <f t="shared" si="2"/>
        <v>0</v>
      </c>
      <c r="L27" s="9">
        <f t="shared" si="2"/>
        <v>0</v>
      </c>
      <c r="M27" s="9">
        <f t="shared" si="2"/>
        <v>0</v>
      </c>
      <c r="N27" s="9">
        <f t="shared" si="2"/>
        <v>0</v>
      </c>
      <c r="O27" s="9">
        <f t="shared" si="2"/>
        <v>0</v>
      </c>
      <c r="P27" s="9">
        <f t="shared" si="2"/>
        <v>0</v>
      </c>
      <c r="Q27" s="9">
        <f t="shared" si="2"/>
        <v>0</v>
      </c>
      <c r="R27" s="9">
        <f t="shared" si="2"/>
        <v>0</v>
      </c>
      <c r="S27" s="9">
        <f t="shared" si="2"/>
        <v>0</v>
      </c>
      <c r="T27" s="9">
        <f t="shared" si="2"/>
        <v>0</v>
      </c>
      <c r="U27" s="9">
        <f t="shared" si="2"/>
        <v>0</v>
      </c>
      <c r="V27" s="9">
        <f t="shared" si="2"/>
        <v>0</v>
      </c>
      <c r="W27" s="9">
        <f t="shared" si="2"/>
        <v>0</v>
      </c>
      <c r="X27" s="9">
        <f t="shared" si="2"/>
        <v>0</v>
      </c>
      <c r="Y27" s="9">
        <f t="shared" si="2"/>
        <v>0</v>
      </c>
      <c r="Z27" s="9">
        <f t="shared" si="2"/>
        <v>0</v>
      </c>
      <c r="AA27" s="9">
        <f t="shared" si="2"/>
        <v>0</v>
      </c>
      <c r="AB27" s="9">
        <f t="shared" si="2"/>
        <v>0</v>
      </c>
      <c r="AC27" s="9">
        <f t="shared" si="2"/>
        <v>0</v>
      </c>
      <c r="AD27" s="9">
        <f t="shared" si="2"/>
        <v>0</v>
      </c>
      <c r="AE27" s="9">
        <f t="shared" si="2"/>
        <v>0</v>
      </c>
      <c r="AF27" s="9">
        <f t="shared" si="2"/>
        <v>0</v>
      </c>
      <c r="AG27" s="9">
        <f t="shared" si="2"/>
        <v>0</v>
      </c>
      <c r="AH27" s="9">
        <f t="shared" si="2"/>
        <v>0</v>
      </c>
      <c r="AI27" s="9">
        <f t="shared" si="2"/>
        <v>0</v>
      </c>
      <c r="AJ27" s="9">
        <f t="shared" si="2"/>
        <v>0</v>
      </c>
      <c r="AK27" s="9">
        <f t="shared" si="2"/>
        <v>0</v>
      </c>
      <c r="AL27" s="9">
        <f t="shared" si="2"/>
        <v>0</v>
      </c>
      <c r="AM27" s="9">
        <f t="shared" si="2"/>
        <v>0</v>
      </c>
      <c r="AN27" s="9">
        <f t="shared" si="2"/>
        <v>0</v>
      </c>
      <c r="AO27" s="9">
        <f t="shared" si="2"/>
        <v>0</v>
      </c>
      <c r="AP27" s="9">
        <f t="shared" si="2"/>
        <v>0</v>
      </c>
      <c r="AQ27" s="9">
        <f t="shared" si="2"/>
        <v>0</v>
      </c>
      <c r="AR27" s="9">
        <f t="shared" si="2"/>
        <v>0</v>
      </c>
      <c r="AS27" s="9">
        <f t="shared" si="2"/>
        <v>0</v>
      </c>
      <c r="AT27" s="9">
        <f t="shared" si="2"/>
        <v>0</v>
      </c>
      <c r="AU27" s="9">
        <f t="shared" si="2"/>
        <v>0</v>
      </c>
      <c r="AV27" s="9">
        <f t="shared" si="2"/>
        <v>0</v>
      </c>
      <c r="AW27" s="9">
        <f t="shared" si="2"/>
        <v>0</v>
      </c>
      <c r="AX27" s="9">
        <f t="shared" si="2"/>
        <v>0</v>
      </c>
      <c r="AY27" s="9">
        <f t="shared" si="2"/>
        <v>0</v>
      </c>
      <c r="AZ27" s="9">
        <f t="shared" si="2"/>
        <v>0</v>
      </c>
      <c r="BA27" s="9">
        <f t="shared" si="2"/>
        <v>0</v>
      </c>
      <c r="BB27" s="9">
        <f t="shared" si="2"/>
        <v>0</v>
      </c>
      <c r="BC27" s="9">
        <f t="shared" si="2"/>
        <v>0</v>
      </c>
      <c r="BD27" s="9">
        <f t="shared" si="2"/>
        <v>0</v>
      </c>
      <c r="BE27" s="9">
        <f t="shared" si="2"/>
        <v>0</v>
      </c>
      <c r="BF27" s="9">
        <f t="shared" si="2"/>
        <v>0</v>
      </c>
      <c r="BG27" s="9">
        <f t="shared" si="2"/>
        <v>0</v>
      </c>
      <c r="BH27" s="9">
        <f t="shared" si="2"/>
        <v>0</v>
      </c>
      <c r="BI27" s="9">
        <f t="shared" si="2"/>
        <v>0</v>
      </c>
      <c r="BJ27" s="9">
        <f t="shared" si="2"/>
        <v>0</v>
      </c>
      <c r="BK27" s="9">
        <f t="shared" si="2"/>
        <v>0</v>
      </c>
      <c r="BL27" s="9">
        <f t="shared" si="2"/>
        <v>0</v>
      </c>
      <c r="BM27" s="9">
        <f t="shared" si="2"/>
        <v>0</v>
      </c>
      <c r="BN27" s="9">
        <f t="shared" si="3"/>
        <v>0</v>
      </c>
      <c r="BO27" s="9">
        <f t="shared" si="3"/>
        <v>0</v>
      </c>
      <c r="BP27" s="9">
        <f t="shared" si="3"/>
        <v>0</v>
      </c>
      <c r="BQ27" s="9">
        <f t="shared" si="3"/>
        <v>0</v>
      </c>
      <c r="BR27" s="9">
        <f t="shared" si="3"/>
        <v>0</v>
      </c>
      <c r="BS27" s="9">
        <f t="shared" si="3"/>
        <v>0</v>
      </c>
      <c r="BT27" s="9">
        <f t="shared" si="3"/>
        <v>0</v>
      </c>
      <c r="BU27" s="9">
        <f t="shared" si="3"/>
        <v>0</v>
      </c>
      <c r="BV27" s="9">
        <f t="shared" si="3"/>
        <v>0</v>
      </c>
      <c r="BW27" s="9">
        <f t="shared" si="3"/>
        <v>0</v>
      </c>
      <c r="BX27" s="9">
        <f t="shared" si="3"/>
        <v>0</v>
      </c>
      <c r="BY27" s="9">
        <f t="shared" si="3"/>
        <v>0</v>
      </c>
      <c r="BZ27" s="9">
        <f t="shared" si="3"/>
        <v>0</v>
      </c>
    </row>
    <row r="28" spans="1:78">
      <c r="A28" s="22" t="s">
        <v>23</v>
      </c>
      <c r="B28" s="9">
        <f t="shared" ref="B28:BM28" si="4">B19-B18</f>
        <v>25.983000000000004</v>
      </c>
      <c r="C28" s="9">
        <f t="shared" si="4"/>
        <v>40.515000000000043</v>
      </c>
      <c r="D28" s="9">
        <f t="shared" si="4"/>
        <v>112.38699999999997</v>
      </c>
      <c r="E28" s="9">
        <f t="shared" si="4"/>
        <v>114.23699999999997</v>
      </c>
      <c r="F28" s="9">
        <f t="shared" si="4"/>
        <v>10.050000000000011</v>
      </c>
      <c r="G28" s="9">
        <f t="shared" si="4"/>
        <v>34.652000000000015</v>
      </c>
      <c r="H28" s="9">
        <f t="shared" si="4"/>
        <v>147.61699999999996</v>
      </c>
      <c r="I28" s="9">
        <f t="shared" si="4"/>
        <v>0</v>
      </c>
      <c r="J28" s="9">
        <f t="shared" si="4"/>
        <v>0</v>
      </c>
      <c r="K28" s="9">
        <f t="shared" si="4"/>
        <v>0</v>
      </c>
      <c r="L28" s="9">
        <f t="shared" si="4"/>
        <v>0</v>
      </c>
      <c r="M28" s="9">
        <f t="shared" si="4"/>
        <v>0</v>
      </c>
      <c r="N28" s="9">
        <f t="shared" si="4"/>
        <v>0</v>
      </c>
      <c r="O28" s="9">
        <f t="shared" si="4"/>
        <v>0</v>
      </c>
      <c r="P28" s="9">
        <f t="shared" si="4"/>
        <v>0</v>
      </c>
      <c r="Q28" s="9">
        <f t="shared" si="4"/>
        <v>0</v>
      </c>
      <c r="R28" s="9">
        <f t="shared" si="4"/>
        <v>0</v>
      </c>
      <c r="S28" s="9">
        <f t="shared" si="4"/>
        <v>0</v>
      </c>
      <c r="T28" s="9">
        <f t="shared" si="4"/>
        <v>0</v>
      </c>
      <c r="U28" s="9">
        <f t="shared" si="4"/>
        <v>0</v>
      </c>
      <c r="V28" s="9">
        <f t="shared" si="4"/>
        <v>0</v>
      </c>
      <c r="W28" s="9">
        <f t="shared" si="4"/>
        <v>0</v>
      </c>
      <c r="X28" s="9">
        <f t="shared" si="4"/>
        <v>0</v>
      </c>
      <c r="Y28" s="9">
        <f t="shared" si="4"/>
        <v>0</v>
      </c>
      <c r="Z28" s="9">
        <f t="shared" si="4"/>
        <v>0</v>
      </c>
      <c r="AA28" s="9">
        <f t="shared" si="4"/>
        <v>0</v>
      </c>
      <c r="AB28" s="9">
        <f t="shared" si="4"/>
        <v>0</v>
      </c>
      <c r="AC28" s="9">
        <f t="shared" si="4"/>
        <v>0</v>
      </c>
      <c r="AD28" s="9">
        <f t="shared" si="4"/>
        <v>0</v>
      </c>
      <c r="AE28" s="9">
        <f t="shared" si="4"/>
        <v>0</v>
      </c>
      <c r="AF28" s="9">
        <f t="shared" si="4"/>
        <v>0</v>
      </c>
      <c r="AG28" s="9">
        <f t="shared" si="4"/>
        <v>0</v>
      </c>
      <c r="AH28" s="9">
        <f t="shared" si="4"/>
        <v>0</v>
      </c>
      <c r="AI28" s="9">
        <f t="shared" si="4"/>
        <v>0</v>
      </c>
      <c r="AJ28" s="9">
        <f t="shared" si="4"/>
        <v>0</v>
      </c>
      <c r="AK28" s="9">
        <f t="shared" si="4"/>
        <v>0</v>
      </c>
      <c r="AL28" s="9">
        <f t="shared" si="4"/>
        <v>0</v>
      </c>
      <c r="AM28" s="9">
        <f t="shared" si="4"/>
        <v>0</v>
      </c>
      <c r="AN28" s="9">
        <f t="shared" si="4"/>
        <v>0</v>
      </c>
      <c r="AO28" s="9">
        <f t="shared" si="4"/>
        <v>0</v>
      </c>
      <c r="AP28" s="9">
        <f t="shared" si="4"/>
        <v>0</v>
      </c>
      <c r="AQ28" s="9">
        <f t="shared" si="4"/>
        <v>0</v>
      </c>
      <c r="AR28" s="9">
        <f t="shared" si="4"/>
        <v>0</v>
      </c>
      <c r="AS28" s="9">
        <f t="shared" si="4"/>
        <v>0</v>
      </c>
      <c r="AT28" s="9">
        <f t="shared" si="4"/>
        <v>0</v>
      </c>
      <c r="AU28" s="9">
        <f t="shared" si="4"/>
        <v>0</v>
      </c>
      <c r="AV28" s="9">
        <f t="shared" si="4"/>
        <v>0</v>
      </c>
      <c r="AW28" s="9">
        <f t="shared" si="4"/>
        <v>0</v>
      </c>
      <c r="AX28" s="9">
        <f t="shared" si="4"/>
        <v>0</v>
      </c>
      <c r="AY28" s="9">
        <f t="shared" si="4"/>
        <v>0</v>
      </c>
      <c r="AZ28" s="9">
        <f t="shared" si="4"/>
        <v>0</v>
      </c>
      <c r="BA28" s="9">
        <f t="shared" si="4"/>
        <v>0</v>
      </c>
      <c r="BB28" s="9">
        <f t="shared" si="4"/>
        <v>0</v>
      </c>
      <c r="BC28" s="9">
        <f t="shared" si="4"/>
        <v>0</v>
      </c>
      <c r="BD28" s="9">
        <f t="shared" si="4"/>
        <v>0</v>
      </c>
      <c r="BE28" s="9">
        <f t="shared" si="4"/>
        <v>0</v>
      </c>
      <c r="BF28" s="9">
        <f t="shared" si="4"/>
        <v>0</v>
      </c>
      <c r="BG28" s="9">
        <f t="shared" si="4"/>
        <v>0</v>
      </c>
      <c r="BH28" s="9">
        <f t="shared" si="4"/>
        <v>0</v>
      </c>
      <c r="BI28" s="9">
        <f t="shared" si="4"/>
        <v>0</v>
      </c>
      <c r="BJ28" s="9">
        <f t="shared" si="4"/>
        <v>0</v>
      </c>
      <c r="BK28" s="9">
        <f t="shared" si="4"/>
        <v>0</v>
      </c>
      <c r="BL28" s="9">
        <f t="shared" si="4"/>
        <v>0</v>
      </c>
      <c r="BM28" s="9">
        <f t="shared" si="4"/>
        <v>0</v>
      </c>
      <c r="BN28" s="9">
        <f t="shared" ref="BN28:BZ28" si="5">BN19-BN18</f>
        <v>0</v>
      </c>
      <c r="BO28" s="9">
        <f t="shared" si="5"/>
        <v>0</v>
      </c>
      <c r="BP28" s="9">
        <f t="shared" si="5"/>
        <v>0</v>
      </c>
      <c r="BQ28" s="9">
        <f t="shared" si="5"/>
        <v>0</v>
      </c>
      <c r="BR28" s="9">
        <f t="shared" si="5"/>
        <v>0</v>
      </c>
      <c r="BS28" s="9">
        <f t="shared" si="5"/>
        <v>0</v>
      </c>
      <c r="BT28" s="9">
        <f t="shared" si="5"/>
        <v>0</v>
      </c>
      <c r="BU28" s="9">
        <f t="shared" si="5"/>
        <v>0</v>
      </c>
      <c r="BV28" s="9">
        <f t="shared" si="5"/>
        <v>0</v>
      </c>
      <c r="BW28" s="9">
        <f t="shared" si="5"/>
        <v>0</v>
      </c>
      <c r="BX28" s="9">
        <f t="shared" si="5"/>
        <v>0</v>
      </c>
      <c r="BY28" s="9">
        <f t="shared" si="5"/>
        <v>0</v>
      </c>
      <c r="BZ28" s="9">
        <f t="shared" si="5"/>
        <v>0</v>
      </c>
    </row>
    <row r="29" spans="1:78">
      <c r="A29" s="22" t="s">
        <v>24</v>
      </c>
      <c r="B29" s="9">
        <f t="shared" ref="B29:BM29" si="6">B22-B21</f>
        <v>1552.298</v>
      </c>
      <c r="C29" s="9">
        <f t="shared" si="6"/>
        <v>1208.8690000000001</v>
      </c>
      <c r="D29" s="9">
        <f t="shared" si="6"/>
        <v>1390.8100000000002</v>
      </c>
      <c r="E29" s="9">
        <f t="shared" si="6"/>
        <v>1329.057</v>
      </c>
      <c r="F29" s="9">
        <f t="shared" si="6"/>
        <v>258.94399999999996</v>
      </c>
      <c r="G29" s="9">
        <f t="shared" si="6"/>
        <v>205.29399999999998</v>
      </c>
      <c r="H29" s="9">
        <f t="shared" si="6"/>
        <v>826.91099999999983</v>
      </c>
      <c r="I29" s="9">
        <f t="shared" si="6"/>
        <v>0</v>
      </c>
      <c r="J29" s="9">
        <f t="shared" si="6"/>
        <v>0</v>
      </c>
      <c r="K29" s="9">
        <f t="shared" si="6"/>
        <v>0</v>
      </c>
      <c r="L29" s="9">
        <f t="shared" si="6"/>
        <v>0</v>
      </c>
      <c r="M29" s="9">
        <f t="shared" si="6"/>
        <v>0</v>
      </c>
      <c r="N29" s="9">
        <f t="shared" si="6"/>
        <v>0</v>
      </c>
      <c r="O29" s="9">
        <f t="shared" si="6"/>
        <v>0</v>
      </c>
      <c r="P29" s="9">
        <f t="shared" si="6"/>
        <v>0</v>
      </c>
      <c r="Q29" s="9">
        <f t="shared" si="6"/>
        <v>0</v>
      </c>
      <c r="R29" s="9">
        <f t="shared" si="6"/>
        <v>0</v>
      </c>
      <c r="S29" s="9">
        <f t="shared" si="6"/>
        <v>0</v>
      </c>
      <c r="T29" s="9">
        <f t="shared" si="6"/>
        <v>0</v>
      </c>
      <c r="U29" s="9">
        <f t="shared" si="6"/>
        <v>0</v>
      </c>
      <c r="V29" s="9">
        <f t="shared" si="6"/>
        <v>0</v>
      </c>
      <c r="W29" s="9">
        <f t="shared" si="6"/>
        <v>0</v>
      </c>
      <c r="X29" s="9">
        <f t="shared" si="6"/>
        <v>0</v>
      </c>
      <c r="Y29" s="9">
        <f t="shared" si="6"/>
        <v>0</v>
      </c>
      <c r="Z29" s="9">
        <f t="shared" si="6"/>
        <v>0</v>
      </c>
      <c r="AA29" s="9">
        <f t="shared" si="6"/>
        <v>0</v>
      </c>
      <c r="AB29" s="9">
        <f t="shared" si="6"/>
        <v>0</v>
      </c>
      <c r="AC29" s="9">
        <f t="shared" si="6"/>
        <v>0</v>
      </c>
      <c r="AD29" s="9">
        <f t="shared" si="6"/>
        <v>0</v>
      </c>
      <c r="AE29" s="9">
        <f t="shared" si="6"/>
        <v>0</v>
      </c>
      <c r="AF29" s="9">
        <f t="shared" si="6"/>
        <v>0</v>
      </c>
      <c r="AG29" s="9">
        <f t="shared" si="6"/>
        <v>0</v>
      </c>
      <c r="AH29" s="9">
        <f t="shared" si="6"/>
        <v>0</v>
      </c>
      <c r="AI29" s="9">
        <f t="shared" si="6"/>
        <v>0</v>
      </c>
      <c r="AJ29" s="9">
        <f t="shared" si="6"/>
        <v>0</v>
      </c>
      <c r="AK29" s="9">
        <f t="shared" si="6"/>
        <v>0</v>
      </c>
      <c r="AL29" s="9">
        <f t="shared" si="6"/>
        <v>0</v>
      </c>
      <c r="AM29" s="9">
        <f t="shared" si="6"/>
        <v>0</v>
      </c>
      <c r="AN29" s="9">
        <f t="shared" si="6"/>
        <v>0</v>
      </c>
      <c r="AO29" s="9">
        <f t="shared" si="6"/>
        <v>0</v>
      </c>
      <c r="AP29" s="9">
        <f t="shared" si="6"/>
        <v>0</v>
      </c>
      <c r="AQ29" s="9">
        <f t="shared" si="6"/>
        <v>0</v>
      </c>
      <c r="AR29" s="9">
        <f t="shared" si="6"/>
        <v>0</v>
      </c>
      <c r="AS29" s="9">
        <f t="shared" si="6"/>
        <v>0</v>
      </c>
      <c r="AT29" s="9">
        <f t="shared" si="6"/>
        <v>0</v>
      </c>
      <c r="AU29" s="9">
        <f t="shared" si="6"/>
        <v>0</v>
      </c>
      <c r="AV29" s="9">
        <f t="shared" si="6"/>
        <v>0</v>
      </c>
      <c r="AW29" s="9">
        <f t="shared" si="6"/>
        <v>0</v>
      </c>
      <c r="AX29" s="9">
        <f t="shared" si="6"/>
        <v>0</v>
      </c>
      <c r="AY29" s="9">
        <f t="shared" si="6"/>
        <v>0</v>
      </c>
      <c r="AZ29" s="9">
        <f t="shared" si="6"/>
        <v>0</v>
      </c>
      <c r="BA29" s="9">
        <f t="shared" si="6"/>
        <v>0</v>
      </c>
      <c r="BB29" s="9">
        <f t="shared" si="6"/>
        <v>0</v>
      </c>
      <c r="BC29" s="9">
        <f t="shared" si="6"/>
        <v>0</v>
      </c>
      <c r="BD29" s="9">
        <f t="shared" si="6"/>
        <v>0</v>
      </c>
      <c r="BE29" s="9">
        <f t="shared" si="6"/>
        <v>0</v>
      </c>
      <c r="BF29" s="9">
        <f t="shared" si="6"/>
        <v>0</v>
      </c>
      <c r="BG29" s="9">
        <f t="shared" si="6"/>
        <v>0</v>
      </c>
      <c r="BH29" s="9">
        <f t="shared" si="6"/>
        <v>0</v>
      </c>
      <c r="BI29" s="9">
        <f t="shared" si="6"/>
        <v>0</v>
      </c>
      <c r="BJ29" s="9">
        <f t="shared" si="6"/>
        <v>0</v>
      </c>
      <c r="BK29" s="9">
        <f t="shared" si="6"/>
        <v>0</v>
      </c>
      <c r="BL29" s="9">
        <f t="shared" si="6"/>
        <v>0</v>
      </c>
      <c r="BM29" s="9">
        <f t="shared" si="6"/>
        <v>0</v>
      </c>
      <c r="BN29" s="9">
        <f t="shared" ref="BN29:BZ29" si="7">BN22-BN21</f>
        <v>0</v>
      </c>
      <c r="BO29" s="9">
        <f t="shared" si="7"/>
        <v>0</v>
      </c>
      <c r="BP29" s="9">
        <f t="shared" si="7"/>
        <v>0</v>
      </c>
      <c r="BQ29" s="9">
        <f t="shared" si="7"/>
        <v>0</v>
      </c>
      <c r="BR29" s="9">
        <f t="shared" si="7"/>
        <v>0</v>
      </c>
      <c r="BS29" s="9">
        <f t="shared" si="7"/>
        <v>0</v>
      </c>
      <c r="BT29" s="9">
        <f t="shared" si="7"/>
        <v>0</v>
      </c>
      <c r="BU29" s="9">
        <f t="shared" si="7"/>
        <v>0</v>
      </c>
      <c r="BV29" s="9">
        <f t="shared" si="7"/>
        <v>0</v>
      </c>
      <c r="BW29" s="9">
        <f t="shared" si="7"/>
        <v>0</v>
      </c>
      <c r="BX29" s="9">
        <f t="shared" si="7"/>
        <v>0</v>
      </c>
      <c r="BY29" s="9">
        <f t="shared" si="7"/>
        <v>0</v>
      </c>
      <c r="BZ29" s="9">
        <f t="shared" si="7"/>
        <v>0</v>
      </c>
    </row>
    <row r="30" spans="1:78">
      <c r="A30" s="9" t="s">
        <v>25</v>
      </c>
      <c r="B30" s="9">
        <f>1-B23</f>
        <v>1</v>
      </c>
      <c r="C30" s="9">
        <f t="shared" ref="C30:BN30" si="8">1-C23</f>
        <v>1</v>
      </c>
      <c r="D30" s="9">
        <f t="shared" si="8"/>
        <v>1</v>
      </c>
      <c r="E30" s="9">
        <f t="shared" si="8"/>
        <v>0.92</v>
      </c>
      <c r="F30" s="9">
        <f t="shared" si="8"/>
        <v>0.14000000000000001</v>
      </c>
      <c r="G30" s="9">
        <f t="shared" si="8"/>
        <v>0.21999999999999997</v>
      </c>
      <c r="H30" s="9">
        <f t="shared" si="8"/>
        <v>0.43000000000000005</v>
      </c>
      <c r="I30" s="9">
        <f t="shared" si="8"/>
        <v>1</v>
      </c>
      <c r="J30" s="9">
        <f t="shared" si="8"/>
        <v>1</v>
      </c>
      <c r="K30" s="9">
        <f t="shared" si="8"/>
        <v>1</v>
      </c>
      <c r="L30" s="9">
        <f t="shared" si="8"/>
        <v>1</v>
      </c>
      <c r="M30" s="9">
        <f t="shared" si="8"/>
        <v>1</v>
      </c>
      <c r="N30" s="9">
        <f t="shared" si="8"/>
        <v>1</v>
      </c>
      <c r="O30" s="9">
        <f t="shared" si="8"/>
        <v>1</v>
      </c>
      <c r="P30" s="9">
        <f t="shared" si="8"/>
        <v>1</v>
      </c>
      <c r="Q30" s="9">
        <f t="shared" si="8"/>
        <v>1</v>
      </c>
      <c r="R30" s="9">
        <f t="shared" si="8"/>
        <v>1</v>
      </c>
      <c r="S30" s="9">
        <f t="shared" si="8"/>
        <v>1</v>
      </c>
      <c r="T30" s="9">
        <f t="shared" si="8"/>
        <v>1</v>
      </c>
      <c r="U30" s="9">
        <f t="shared" si="8"/>
        <v>1</v>
      </c>
      <c r="V30" s="9">
        <f t="shared" si="8"/>
        <v>1</v>
      </c>
      <c r="W30" s="9">
        <f t="shared" si="8"/>
        <v>1</v>
      </c>
      <c r="X30" s="9">
        <f t="shared" si="8"/>
        <v>1</v>
      </c>
      <c r="Y30" s="9">
        <f t="shared" si="8"/>
        <v>1</v>
      </c>
      <c r="Z30" s="9">
        <f t="shared" si="8"/>
        <v>1</v>
      </c>
      <c r="AA30" s="9">
        <f t="shared" si="8"/>
        <v>1</v>
      </c>
      <c r="AB30" s="9">
        <f t="shared" si="8"/>
        <v>1</v>
      </c>
      <c r="AC30" s="9">
        <f t="shared" si="8"/>
        <v>1</v>
      </c>
      <c r="AD30" s="9">
        <f t="shared" si="8"/>
        <v>1</v>
      </c>
      <c r="AE30" s="9">
        <f t="shared" si="8"/>
        <v>1</v>
      </c>
      <c r="AF30" s="9">
        <f t="shared" si="8"/>
        <v>1</v>
      </c>
      <c r="AG30" s="9">
        <f t="shared" si="8"/>
        <v>1</v>
      </c>
      <c r="AH30" s="9">
        <f t="shared" si="8"/>
        <v>1</v>
      </c>
      <c r="AI30" s="9">
        <f t="shared" si="8"/>
        <v>1</v>
      </c>
      <c r="AJ30" s="9">
        <f t="shared" si="8"/>
        <v>1</v>
      </c>
      <c r="AK30" s="9">
        <f t="shared" si="8"/>
        <v>1</v>
      </c>
      <c r="AL30" s="9">
        <f t="shared" si="8"/>
        <v>1</v>
      </c>
      <c r="AM30" s="9">
        <f t="shared" si="8"/>
        <v>1</v>
      </c>
      <c r="AN30" s="9">
        <f t="shared" si="8"/>
        <v>1</v>
      </c>
      <c r="AO30" s="9">
        <f t="shared" si="8"/>
        <v>1</v>
      </c>
      <c r="AP30" s="9">
        <f t="shared" si="8"/>
        <v>1</v>
      </c>
      <c r="AQ30" s="9">
        <f t="shared" si="8"/>
        <v>1</v>
      </c>
      <c r="AR30" s="9">
        <f t="shared" si="8"/>
        <v>1</v>
      </c>
      <c r="AS30" s="9">
        <f t="shared" si="8"/>
        <v>1</v>
      </c>
      <c r="AT30" s="9">
        <f t="shared" si="8"/>
        <v>1</v>
      </c>
      <c r="AU30" s="9">
        <f t="shared" si="8"/>
        <v>1</v>
      </c>
      <c r="AV30" s="9">
        <f t="shared" si="8"/>
        <v>1</v>
      </c>
      <c r="AW30" s="9">
        <f t="shared" si="8"/>
        <v>1</v>
      </c>
      <c r="AX30" s="9">
        <f t="shared" si="8"/>
        <v>1</v>
      </c>
      <c r="AY30" s="9">
        <f t="shared" si="8"/>
        <v>1</v>
      </c>
      <c r="AZ30" s="9">
        <f t="shared" si="8"/>
        <v>1</v>
      </c>
      <c r="BA30" s="9">
        <f t="shared" si="8"/>
        <v>1</v>
      </c>
      <c r="BB30" s="9">
        <f t="shared" si="8"/>
        <v>1</v>
      </c>
      <c r="BC30" s="9">
        <f t="shared" si="8"/>
        <v>1</v>
      </c>
      <c r="BD30" s="9">
        <f t="shared" si="8"/>
        <v>1</v>
      </c>
      <c r="BE30" s="9">
        <f t="shared" si="8"/>
        <v>1</v>
      </c>
      <c r="BF30" s="9">
        <f t="shared" si="8"/>
        <v>1</v>
      </c>
      <c r="BG30" s="9">
        <f t="shared" si="8"/>
        <v>1</v>
      </c>
      <c r="BH30" s="9">
        <f t="shared" si="8"/>
        <v>1</v>
      </c>
      <c r="BI30" s="9">
        <f t="shared" si="8"/>
        <v>1</v>
      </c>
      <c r="BJ30" s="9">
        <f t="shared" si="8"/>
        <v>1</v>
      </c>
      <c r="BK30" s="9">
        <f t="shared" si="8"/>
        <v>1</v>
      </c>
      <c r="BL30" s="9">
        <f t="shared" si="8"/>
        <v>1</v>
      </c>
      <c r="BM30" s="9">
        <f t="shared" si="8"/>
        <v>1</v>
      </c>
      <c r="BN30" s="9">
        <f t="shared" si="8"/>
        <v>1</v>
      </c>
      <c r="BO30" s="9">
        <f t="shared" ref="BO30:BZ30" si="9">1-BO23</f>
        <v>1</v>
      </c>
      <c r="BP30" s="9">
        <f t="shared" si="9"/>
        <v>1</v>
      </c>
      <c r="BQ30" s="9">
        <f t="shared" si="9"/>
        <v>1</v>
      </c>
      <c r="BR30" s="9">
        <f t="shared" si="9"/>
        <v>1</v>
      </c>
      <c r="BS30" s="9">
        <f t="shared" si="9"/>
        <v>1</v>
      </c>
      <c r="BT30" s="9">
        <f t="shared" si="9"/>
        <v>1</v>
      </c>
      <c r="BU30" s="9">
        <f t="shared" si="9"/>
        <v>1</v>
      </c>
      <c r="BV30" s="9">
        <f t="shared" si="9"/>
        <v>1</v>
      </c>
      <c r="BW30" s="9">
        <f t="shared" si="9"/>
        <v>1</v>
      </c>
      <c r="BX30" s="9">
        <f t="shared" si="9"/>
        <v>1</v>
      </c>
      <c r="BY30" s="9">
        <f t="shared" si="9"/>
        <v>1</v>
      </c>
      <c r="BZ30" s="9">
        <f t="shared" si="9"/>
        <v>1</v>
      </c>
    </row>
    <row r="31" spans="1:78">
      <c r="A31" s="9" t="s">
        <v>12</v>
      </c>
      <c r="B31" s="9">
        <f>B23</f>
        <v>0</v>
      </c>
      <c r="C31" s="9">
        <f t="shared" ref="C31:BN31" si="10">C23</f>
        <v>0</v>
      </c>
      <c r="D31" s="9">
        <f t="shared" si="10"/>
        <v>0</v>
      </c>
      <c r="E31" s="9">
        <f t="shared" si="10"/>
        <v>0.08</v>
      </c>
      <c r="F31" s="9">
        <f t="shared" si="10"/>
        <v>0.86</v>
      </c>
      <c r="G31" s="9">
        <f t="shared" si="10"/>
        <v>0.78</v>
      </c>
      <c r="H31" s="9">
        <f t="shared" si="10"/>
        <v>0.56999999999999995</v>
      </c>
      <c r="I31" s="9">
        <f t="shared" si="10"/>
        <v>0</v>
      </c>
      <c r="J31" s="9">
        <f t="shared" si="10"/>
        <v>0</v>
      </c>
      <c r="K31" s="9">
        <f t="shared" si="10"/>
        <v>0</v>
      </c>
      <c r="L31" s="9">
        <f t="shared" si="10"/>
        <v>0</v>
      </c>
      <c r="M31" s="9">
        <f t="shared" si="10"/>
        <v>0</v>
      </c>
      <c r="N31" s="9">
        <f t="shared" si="10"/>
        <v>0</v>
      </c>
      <c r="O31" s="9">
        <f t="shared" si="10"/>
        <v>0</v>
      </c>
      <c r="P31" s="9">
        <f t="shared" si="10"/>
        <v>0</v>
      </c>
      <c r="Q31" s="9">
        <f t="shared" si="10"/>
        <v>0</v>
      </c>
      <c r="R31" s="9">
        <f t="shared" si="10"/>
        <v>0</v>
      </c>
      <c r="S31" s="9">
        <f t="shared" si="10"/>
        <v>0</v>
      </c>
      <c r="T31" s="9">
        <f t="shared" si="10"/>
        <v>0</v>
      </c>
      <c r="U31" s="9">
        <f t="shared" si="10"/>
        <v>0</v>
      </c>
      <c r="V31" s="9">
        <f t="shared" si="10"/>
        <v>0</v>
      </c>
      <c r="W31" s="9">
        <f t="shared" si="10"/>
        <v>0</v>
      </c>
      <c r="X31" s="9">
        <f t="shared" si="10"/>
        <v>0</v>
      </c>
      <c r="Y31" s="9">
        <f t="shared" si="10"/>
        <v>0</v>
      </c>
      <c r="Z31" s="9">
        <f t="shared" si="10"/>
        <v>0</v>
      </c>
      <c r="AA31" s="9">
        <f t="shared" si="10"/>
        <v>0</v>
      </c>
      <c r="AB31" s="9">
        <f t="shared" si="10"/>
        <v>0</v>
      </c>
      <c r="AC31" s="9">
        <f t="shared" si="10"/>
        <v>0</v>
      </c>
      <c r="AD31" s="9">
        <f t="shared" si="10"/>
        <v>0</v>
      </c>
      <c r="AE31" s="9">
        <f t="shared" si="10"/>
        <v>0</v>
      </c>
      <c r="AF31" s="9">
        <f t="shared" si="10"/>
        <v>0</v>
      </c>
      <c r="AG31" s="9">
        <f t="shared" si="10"/>
        <v>0</v>
      </c>
      <c r="AH31" s="9">
        <f t="shared" si="10"/>
        <v>0</v>
      </c>
      <c r="AI31" s="9">
        <f t="shared" si="10"/>
        <v>0</v>
      </c>
      <c r="AJ31" s="9">
        <f t="shared" si="10"/>
        <v>0</v>
      </c>
      <c r="AK31" s="9">
        <f t="shared" si="10"/>
        <v>0</v>
      </c>
      <c r="AL31" s="9">
        <f t="shared" si="10"/>
        <v>0</v>
      </c>
      <c r="AM31" s="9">
        <f t="shared" si="10"/>
        <v>0</v>
      </c>
      <c r="AN31" s="9">
        <f t="shared" si="10"/>
        <v>0</v>
      </c>
      <c r="AO31" s="9">
        <f t="shared" si="10"/>
        <v>0</v>
      </c>
      <c r="AP31" s="9">
        <f t="shared" si="10"/>
        <v>0</v>
      </c>
      <c r="AQ31" s="9">
        <f t="shared" si="10"/>
        <v>0</v>
      </c>
      <c r="AR31" s="9">
        <f t="shared" si="10"/>
        <v>0</v>
      </c>
      <c r="AS31" s="9">
        <f t="shared" si="10"/>
        <v>0</v>
      </c>
      <c r="AT31" s="9">
        <f t="shared" si="10"/>
        <v>0</v>
      </c>
      <c r="AU31" s="9">
        <f t="shared" si="10"/>
        <v>0</v>
      </c>
      <c r="AV31" s="9">
        <f t="shared" si="10"/>
        <v>0</v>
      </c>
      <c r="AW31" s="9">
        <f t="shared" si="10"/>
        <v>0</v>
      </c>
      <c r="AX31" s="9">
        <f t="shared" si="10"/>
        <v>0</v>
      </c>
      <c r="AY31" s="9">
        <f t="shared" si="10"/>
        <v>0</v>
      </c>
      <c r="AZ31" s="9">
        <f t="shared" si="10"/>
        <v>0</v>
      </c>
      <c r="BA31" s="9">
        <f t="shared" si="10"/>
        <v>0</v>
      </c>
      <c r="BB31" s="9">
        <f t="shared" si="10"/>
        <v>0</v>
      </c>
      <c r="BC31" s="9">
        <f t="shared" si="10"/>
        <v>0</v>
      </c>
      <c r="BD31" s="9">
        <f t="shared" si="10"/>
        <v>0</v>
      </c>
      <c r="BE31" s="9">
        <f t="shared" si="10"/>
        <v>0</v>
      </c>
      <c r="BF31" s="9">
        <f t="shared" si="10"/>
        <v>0</v>
      </c>
      <c r="BG31" s="9">
        <f t="shared" si="10"/>
        <v>0</v>
      </c>
      <c r="BH31" s="9">
        <f t="shared" si="10"/>
        <v>0</v>
      </c>
      <c r="BI31" s="9">
        <f t="shared" si="10"/>
        <v>0</v>
      </c>
      <c r="BJ31" s="9">
        <f t="shared" si="10"/>
        <v>0</v>
      </c>
      <c r="BK31" s="9">
        <f t="shared" si="10"/>
        <v>0</v>
      </c>
      <c r="BL31" s="9">
        <f t="shared" si="10"/>
        <v>0</v>
      </c>
      <c r="BM31" s="9">
        <f t="shared" si="10"/>
        <v>0</v>
      </c>
      <c r="BN31" s="9">
        <f t="shared" si="10"/>
        <v>0</v>
      </c>
      <c r="BO31" s="9">
        <f t="shared" ref="BO31:BZ31" si="11">BO23</f>
        <v>0</v>
      </c>
      <c r="BP31" s="9">
        <f t="shared" si="11"/>
        <v>0</v>
      </c>
      <c r="BQ31" s="9">
        <f t="shared" si="11"/>
        <v>0</v>
      </c>
      <c r="BR31" s="9">
        <f t="shared" si="11"/>
        <v>0</v>
      </c>
      <c r="BS31" s="9">
        <f t="shared" si="11"/>
        <v>0</v>
      </c>
      <c r="BT31" s="9">
        <f t="shared" si="11"/>
        <v>0</v>
      </c>
      <c r="BU31" s="9">
        <f t="shared" si="11"/>
        <v>0</v>
      </c>
      <c r="BV31" s="9">
        <f t="shared" si="11"/>
        <v>0</v>
      </c>
      <c r="BW31" s="9">
        <f t="shared" si="11"/>
        <v>0</v>
      </c>
      <c r="BX31" s="9">
        <f t="shared" si="11"/>
        <v>0</v>
      </c>
      <c r="BY31" s="9">
        <f t="shared" si="11"/>
        <v>0</v>
      </c>
      <c r="BZ31" s="9">
        <f t="shared" si="11"/>
        <v>0</v>
      </c>
    </row>
    <row r="32" spans="1:78">
      <c r="B32" s="9"/>
      <c r="C32" s="9"/>
    </row>
    <row r="33" spans="1:37" ht="38.25">
      <c r="A33" s="23" t="s">
        <v>1</v>
      </c>
      <c r="B33" s="23" t="s">
        <v>2</v>
      </c>
      <c r="C33" s="23" t="s">
        <v>3</v>
      </c>
      <c r="D33" s="24" t="s">
        <v>4</v>
      </c>
      <c r="E33" s="24" t="s">
        <v>19</v>
      </c>
      <c r="F33" s="24" t="s">
        <v>5</v>
      </c>
      <c r="G33" s="24" t="s">
        <v>6</v>
      </c>
      <c r="H33" s="24" t="s">
        <v>7</v>
      </c>
      <c r="I33" s="24" t="s">
        <v>8</v>
      </c>
      <c r="J33" s="24" t="s">
        <v>9</v>
      </c>
      <c r="K33" s="24" t="s">
        <v>10</v>
      </c>
      <c r="L33" s="25" t="s">
        <v>11</v>
      </c>
      <c r="M33" s="24" t="s">
        <v>12</v>
      </c>
    </row>
    <row r="34" spans="1:37" s="26" customFormat="1" ht="1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</row>
    <row r="35" spans="1:37" s="26" customFormat="1" ht="1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</row>
    <row r="36" spans="1:37" s="26" customFormat="1" ht="1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</row>
    <row r="37" spans="1:37" s="26" customFormat="1" ht="1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</row>
    <row r="38" spans="1:37" s="26" customFormat="1" ht="1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</row>
    <row r="39" spans="1:37" s="26" customFormat="1" ht="1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</row>
    <row r="40" spans="1:37" s="26" customFormat="1" ht="1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</row>
    <row r="41" spans="1:37" s="26" customFormat="1" ht="1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</row>
    <row r="42" spans="1:37" s="26" customFormat="1" ht="1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</row>
    <row r="43" spans="1:37" s="26" customFormat="1" ht="1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</row>
    <row r="44" spans="1:37" s="26" customFormat="1" ht="1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</row>
    <row r="45" spans="1:37" s="26" customFormat="1" ht="1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</row>
    <row r="46" spans="1:37" s="26" customFormat="1" ht="1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</row>
    <row r="47" spans="1:37" s="26" customFormat="1" ht="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</row>
    <row r="48" spans="1:37" s="26" customFormat="1" ht="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</row>
    <row r="49" spans="1:37" s="26" customFormat="1" ht="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</row>
    <row r="50" spans="1:37" s="26" customFormat="1" ht="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</row>
    <row r="51" spans="1:37" ht="15">
      <c r="A51" s="5"/>
      <c r="B51" s="6"/>
      <c r="C51" s="6"/>
      <c r="D51" s="6"/>
      <c r="E51" s="6"/>
      <c r="F51" s="6"/>
      <c r="G51" s="6"/>
      <c r="H51" s="6"/>
      <c r="I51" s="6"/>
      <c r="J51" s="6"/>
      <c r="K51" s="7"/>
      <c r="L51" s="27"/>
      <c r="M51" s="7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</row>
    <row r="52" spans="1:37" ht="15">
      <c r="A52" s="5"/>
      <c r="B52" s="6"/>
      <c r="C52" s="6"/>
      <c r="D52" s="6"/>
      <c r="E52" s="6"/>
      <c r="F52" s="6"/>
      <c r="G52" s="6"/>
      <c r="H52" s="6"/>
      <c r="I52" s="6"/>
      <c r="J52" s="6"/>
      <c r="K52" s="7"/>
      <c r="L52" s="27"/>
      <c r="M52" s="7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</row>
    <row r="53" spans="1:37" ht="15">
      <c r="A53" s="5"/>
      <c r="B53" s="6"/>
      <c r="C53" s="6"/>
      <c r="D53" s="6"/>
      <c r="E53" s="6"/>
      <c r="F53" s="6"/>
      <c r="G53" s="6"/>
      <c r="H53" s="6"/>
      <c r="I53" s="6"/>
      <c r="J53" s="6"/>
      <c r="K53" s="7"/>
      <c r="L53" s="27"/>
      <c r="M53" s="7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</row>
    <row r="54" spans="1:37" ht="15">
      <c r="A54" s="5"/>
      <c r="B54" s="6"/>
      <c r="C54" s="6"/>
      <c r="D54" s="6"/>
      <c r="E54" s="6"/>
      <c r="F54" s="6"/>
      <c r="G54" s="6"/>
      <c r="H54" s="6"/>
      <c r="I54" s="6"/>
      <c r="J54" s="6"/>
      <c r="K54" s="7"/>
      <c r="L54" s="27"/>
      <c r="M54" s="7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</row>
    <row r="55" spans="1:37" ht="15">
      <c r="A55" s="5"/>
      <c r="B55" s="6"/>
      <c r="C55" s="6"/>
      <c r="D55" s="6"/>
      <c r="E55" s="6"/>
      <c r="F55" s="6"/>
      <c r="G55" s="6"/>
      <c r="H55" s="6"/>
      <c r="I55" s="6"/>
      <c r="J55" s="6"/>
      <c r="K55" s="7"/>
      <c r="L55" s="27"/>
      <c r="M55" s="7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</row>
    <row r="56" spans="1:37" ht="15">
      <c r="A56" s="5"/>
      <c r="B56" s="6"/>
      <c r="C56" s="6"/>
      <c r="D56" s="6"/>
      <c r="E56" s="6"/>
      <c r="F56" s="6"/>
      <c r="G56" s="6"/>
      <c r="H56" s="6"/>
      <c r="I56" s="6"/>
      <c r="J56" s="6"/>
      <c r="K56" s="7"/>
      <c r="L56" s="27"/>
      <c r="M56" s="7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</row>
    <row r="57" spans="1:37" ht="15">
      <c r="A57" s="5"/>
      <c r="B57" s="6"/>
      <c r="C57" s="6"/>
      <c r="D57" s="6"/>
      <c r="E57" s="6"/>
      <c r="F57" s="6"/>
      <c r="G57" s="6"/>
      <c r="H57" s="6"/>
      <c r="I57" s="6"/>
      <c r="J57" s="6"/>
      <c r="K57" s="7"/>
      <c r="L57" s="27"/>
      <c r="M57" s="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</row>
    <row r="58" spans="1:37" ht="15">
      <c r="A58" s="5"/>
      <c r="B58" s="6"/>
      <c r="C58" s="6"/>
      <c r="D58" s="6"/>
      <c r="E58" s="6"/>
      <c r="F58" s="6"/>
      <c r="G58" s="6"/>
      <c r="H58" s="6"/>
      <c r="I58" s="6"/>
      <c r="J58" s="6"/>
      <c r="K58" s="7"/>
      <c r="L58" s="27"/>
      <c r="M58" s="7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</row>
    <row r="59" spans="1:37" ht="15">
      <c r="A59" s="5"/>
      <c r="B59" s="6"/>
      <c r="C59" s="6"/>
      <c r="D59" s="6"/>
      <c r="E59" s="6"/>
      <c r="F59" s="6"/>
      <c r="G59" s="6"/>
      <c r="H59" s="6"/>
      <c r="I59" s="6"/>
      <c r="J59" s="6"/>
      <c r="K59" s="7"/>
      <c r="L59" s="27"/>
      <c r="M59" s="7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</row>
    <row r="60" spans="1:37" ht="15">
      <c r="A60" s="5"/>
      <c r="B60" s="6"/>
      <c r="C60" s="6"/>
      <c r="D60" s="6"/>
      <c r="E60" s="6"/>
      <c r="F60" s="6"/>
      <c r="G60" s="6"/>
      <c r="H60" s="6"/>
      <c r="I60" s="6"/>
      <c r="J60" s="6"/>
      <c r="K60" s="7"/>
      <c r="L60" s="27"/>
      <c r="M60" s="7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</row>
    <row r="61" spans="1:37" s="26" customFormat="1" ht="15">
      <c r="A61" s="5"/>
      <c r="B61" s="6"/>
      <c r="C61" s="6"/>
      <c r="D61" s="6"/>
      <c r="E61" s="6"/>
      <c r="F61" s="6"/>
      <c r="G61" s="6"/>
      <c r="H61" s="6"/>
      <c r="I61" s="6"/>
      <c r="J61" s="6"/>
      <c r="K61" s="7"/>
      <c r="L61" s="27"/>
      <c r="M61" s="7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</row>
    <row r="62" spans="1:37" s="26" customFormat="1" ht="15">
      <c r="A62" s="5"/>
      <c r="B62" s="6"/>
      <c r="C62" s="6"/>
      <c r="D62" s="6"/>
      <c r="E62" s="6"/>
      <c r="F62" s="6"/>
      <c r="G62" s="6"/>
      <c r="H62" s="6"/>
      <c r="I62" s="6"/>
      <c r="J62" s="6"/>
      <c r="K62" s="7"/>
      <c r="L62" s="27"/>
      <c r="M62" s="7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</row>
    <row r="63" spans="1:37" ht="15">
      <c r="A63" s="5"/>
      <c r="B63" s="6"/>
      <c r="C63" s="6"/>
      <c r="D63" s="6"/>
      <c r="E63" s="6"/>
      <c r="F63" s="6"/>
      <c r="G63" s="6"/>
      <c r="H63" s="6"/>
      <c r="I63" s="6"/>
      <c r="J63" s="6"/>
      <c r="K63" s="7"/>
      <c r="L63" s="27"/>
      <c r="M63" s="7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</row>
    <row r="64" spans="1:37" ht="15">
      <c r="A64" s="5"/>
      <c r="B64" s="6"/>
      <c r="C64" s="6"/>
      <c r="D64" s="6"/>
      <c r="E64" s="6"/>
      <c r="F64" s="6"/>
      <c r="G64" s="6"/>
      <c r="H64" s="6"/>
      <c r="I64" s="6"/>
      <c r="J64" s="6"/>
      <c r="K64" s="7"/>
      <c r="L64" s="27"/>
      <c r="M64" s="7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</row>
    <row r="65" spans="1:37" ht="15">
      <c r="A65" s="5"/>
      <c r="B65" s="6"/>
      <c r="C65" s="6"/>
      <c r="D65" s="6"/>
      <c r="E65" s="6"/>
      <c r="F65" s="6"/>
      <c r="G65" s="6"/>
      <c r="H65" s="6"/>
      <c r="I65" s="6"/>
      <c r="J65" s="6"/>
      <c r="K65" s="7"/>
      <c r="L65" s="27"/>
      <c r="M65" s="7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</row>
    <row r="66" spans="1:37" ht="15">
      <c r="A66" s="5"/>
      <c r="B66" s="6"/>
      <c r="C66" s="6"/>
      <c r="D66" s="6"/>
      <c r="E66" s="6"/>
      <c r="F66" s="6"/>
      <c r="G66" s="6"/>
      <c r="H66" s="6"/>
      <c r="I66" s="6"/>
      <c r="J66" s="6"/>
      <c r="K66" s="7"/>
      <c r="L66" s="27"/>
      <c r="M66" s="7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</row>
    <row r="67" spans="1:37" ht="15">
      <c r="A67" s="5"/>
      <c r="B67" s="6"/>
      <c r="C67" s="6"/>
      <c r="D67" s="6"/>
      <c r="E67" s="6"/>
      <c r="F67" s="6"/>
      <c r="G67" s="6"/>
      <c r="H67" s="6"/>
      <c r="I67" s="6"/>
      <c r="J67" s="6"/>
      <c r="K67" s="7"/>
      <c r="L67" s="27"/>
      <c r="M67" s="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</row>
    <row r="68" spans="1:37" ht="15">
      <c r="A68" s="5"/>
      <c r="B68" s="6"/>
      <c r="C68" s="6"/>
      <c r="D68" s="6"/>
      <c r="E68" s="6"/>
      <c r="F68" s="6"/>
      <c r="G68" s="6"/>
      <c r="H68" s="6"/>
      <c r="I68" s="6"/>
      <c r="J68" s="6"/>
      <c r="K68" s="7"/>
      <c r="L68" s="27"/>
      <c r="M68" s="7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</row>
    <row r="69" spans="1:37" ht="15">
      <c r="A69" s="5"/>
      <c r="B69" s="6"/>
      <c r="C69" s="6"/>
      <c r="D69" s="6"/>
      <c r="E69" s="6"/>
      <c r="F69" s="6"/>
      <c r="G69" s="6"/>
      <c r="H69" s="6"/>
      <c r="I69" s="6"/>
      <c r="J69" s="6"/>
      <c r="K69" s="7"/>
      <c r="L69" s="27"/>
      <c r="M69" s="7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</row>
    <row r="70" spans="1:37" ht="15">
      <c r="A70" s="5"/>
      <c r="B70" s="6"/>
      <c r="C70" s="6"/>
      <c r="D70" s="6"/>
      <c r="E70" s="6"/>
      <c r="F70" s="6"/>
      <c r="G70" s="6"/>
      <c r="H70" s="6"/>
      <c r="I70" s="6"/>
      <c r="J70" s="6"/>
      <c r="K70" s="7"/>
      <c r="L70" s="27"/>
      <c r="M70" s="7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</row>
    <row r="71" spans="1:37" ht="15">
      <c r="A71" s="5"/>
      <c r="B71" s="6"/>
      <c r="C71" s="6"/>
      <c r="D71" s="6"/>
      <c r="E71" s="6"/>
      <c r="F71" s="6"/>
      <c r="G71" s="6"/>
      <c r="H71" s="6"/>
      <c r="I71" s="6"/>
      <c r="J71" s="6"/>
      <c r="K71" s="7"/>
      <c r="L71" s="27"/>
      <c r="M71" s="7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</row>
    <row r="72" spans="1:37" ht="15">
      <c r="A72" s="5"/>
      <c r="B72" s="6"/>
      <c r="C72" s="6"/>
      <c r="D72" s="6"/>
      <c r="E72" s="6"/>
      <c r="F72" s="6"/>
      <c r="G72" s="6"/>
      <c r="H72" s="6"/>
      <c r="I72" s="6"/>
      <c r="J72" s="6"/>
      <c r="K72" s="7"/>
      <c r="L72" s="27"/>
      <c r="M72" s="7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</row>
    <row r="73" spans="1:37" ht="15">
      <c r="A73" s="5"/>
      <c r="B73" s="6"/>
      <c r="C73" s="6"/>
      <c r="D73" s="6"/>
      <c r="E73" s="6"/>
      <c r="F73" s="6"/>
      <c r="G73" s="6"/>
      <c r="H73" s="6"/>
      <c r="I73" s="6"/>
      <c r="J73" s="6"/>
      <c r="K73" s="7"/>
      <c r="L73" s="27"/>
      <c r="M73" s="7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</row>
    <row r="74" spans="1:37" ht="15">
      <c r="A74" s="5"/>
      <c r="B74" s="6"/>
      <c r="C74" s="6"/>
      <c r="D74" s="6"/>
      <c r="E74" s="6"/>
      <c r="F74" s="6"/>
      <c r="G74" s="6"/>
      <c r="H74" s="6"/>
      <c r="I74" s="6"/>
      <c r="J74" s="6"/>
      <c r="K74" s="7"/>
      <c r="L74" s="27"/>
      <c r="M74" s="7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</row>
    <row r="75" spans="1:37" ht="15">
      <c r="A75" s="5"/>
      <c r="B75" s="6"/>
      <c r="C75" s="6"/>
      <c r="D75" s="6"/>
      <c r="E75" s="6"/>
      <c r="F75" s="6"/>
      <c r="G75" s="6"/>
      <c r="H75" s="6"/>
      <c r="I75" s="6"/>
      <c r="J75" s="6"/>
      <c r="K75" s="7"/>
      <c r="L75" s="27"/>
      <c r="M75" s="7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</row>
    <row r="76" spans="1:37" ht="15">
      <c r="A76" s="5"/>
      <c r="B76" s="6"/>
      <c r="C76" s="6"/>
      <c r="D76" s="6"/>
      <c r="E76" s="6"/>
      <c r="F76" s="6"/>
      <c r="G76" s="6"/>
      <c r="H76" s="6"/>
      <c r="I76" s="6"/>
      <c r="J76" s="6"/>
      <c r="K76" s="7"/>
      <c r="L76" s="27"/>
      <c r="M76" s="7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</row>
    <row r="77" spans="1:37" ht="15">
      <c r="A77" s="5"/>
      <c r="B77" s="6"/>
      <c r="C77" s="6"/>
      <c r="D77" s="6"/>
      <c r="E77" s="6"/>
      <c r="F77" s="6"/>
      <c r="G77" s="6"/>
      <c r="H77" s="6"/>
      <c r="I77" s="6"/>
      <c r="J77" s="6"/>
      <c r="K77" s="7"/>
      <c r="L77" s="27"/>
      <c r="M77" s="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</row>
    <row r="78" spans="1:37" ht="15">
      <c r="A78" s="5"/>
      <c r="B78" s="6"/>
      <c r="C78" s="6"/>
      <c r="D78" s="6"/>
      <c r="E78" s="6"/>
      <c r="F78" s="6"/>
      <c r="G78" s="6"/>
      <c r="H78" s="6"/>
      <c r="I78" s="6"/>
      <c r="J78" s="6"/>
      <c r="K78" s="7"/>
      <c r="L78" s="27"/>
      <c r="M78" s="7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</row>
    <row r="79" spans="1:37" s="26" customFormat="1" ht="15">
      <c r="A79" s="5"/>
      <c r="B79" s="6"/>
      <c r="C79" s="6"/>
      <c r="D79" s="6"/>
      <c r="E79" s="6"/>
      <c r="F79" s="6"/>
      <c r="G79" s="6"/>
      <c r="H79" s="6"/>
      <c r="I79" s="6"/>
      <c r="J79" s="6"/>
      <c r="K79" s="7"/>
      <c r="L79" s="27"/>
      <c r="M79" s="7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</row>
    <row r="80" spans="1:37" ht="15">
      <c r="A80" s="5"/>
      <c r="B80" s="6"/>
      <c r="C80" s="6"/>
      <c r="D80" s="6"/>
      <c r="E80" s="6"/>
      <c r="F80" s="6"/>
      <c r="G80" s="6"/>
      <c r="H80" s="6"/>
      <c r="I80" s="6"/>
      <c r="J80" s="6"/>
      <c r="K80" s="7"/>
      <c r="L80" s="27"/>
      <c r="M80" s="7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</row>
    <row r="81" spans="1:37" ht="15">
      <c r="A81" s="5"/>
      <c r="B81" s="6"/>
      <c r="C81" s="6"/>
      <c r="D81" s="6"/>
      <c r="E81" s="6"/>
      <c r="F81" s="6"/>
      <c r="G81" s="6"/>
      <c r="H81" s="6"/>
      <c r="I81" s="6"/>
      <c r="J81" s="6"/>
      <c r="K81" s="7"/>
      <c r="L81" s="27"/>
      <c r="M81" s="7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</row>
    <row r="82" spans="1:37" ht="15">
      <c r="A82" s="5"/>
      <c r="B82" s="6"/>
      <c r="C82" s="6"/>
      <c r="D82" s="6"/>
      <c r="E82" s="6"/>
      <c r="F82" s="6"/>
      <c r="G82" s="6"/>
      <c r="H82" s="6"/>
      <c r="I82" s="6"/>
      <c r="J82" s="6"/>
      <c r="K82" s="7"/>
      <c r="L82" s="27"/>
      <c r="M82" s="7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</row>
    <row r="83" spans="1:37" ht="15">
      <c r="A83" s="5"/>
      <c r="B83" s="6"/>
      <c r="C83" s="6"/>
      <c r="D83" s="6"/>
      <c r="E83" s="6"/>
      <c r="F83" s="6"/>
      <c r="G83" s="6"/>
      <c r="H83" s="6"/>
      <c r="I83" s="6"/>
      <c r="J83" s="6"/>
      <c r="K83" s="7"/>
      <c r="L83" s="27"/>
      <c r="M83" s="7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</row>
    <row r="84" spans="1:37" ht="15">
      <c r="A84" s="8"/>
      <c r="B84" s="6"/>
      <c r="C84" s="6"/>
      <c r="D84" s="6"/>
      <c r="E84" s="6"/>
      <c r="F84" s="6"/>
      <c r="G84" s="6"/>
      <c r="H84" s="6"/>
      <c r="I84" s="6"/>
      <c r="J84" s="6"/>
      <c r="K84" s="7"/>
      <c r="L84" s="27"/>
      <c r="M84" s="7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</row>
    <row r="85" spans="1:37" ht="15">
      <c r="A85" s="8"/>
      <c r="B85" s="6"/>
      <c r="C85" s="6"/>
      <c r="D85" s="6"/>
      <c r="E85" s="6"/>
      <c r="F85" s="6"/>
      <c r="G85" s="6"/>
      <c r="H85" s="6"/>
      <c r="I85" s="6"/>
      <c r="J85" s="6"/>
      <c r="K85" s="7"/>
      <c r="L85" s="27"/>
      <c r="M85" s="7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</row>
    <row r="86" spans="1:37" ht="15">
      <c r="A86" s="8"/>
      <c r="B86" s="6"/>
      <c r="C86" s="6"/>
      <c r="D86" s="6"/>
      <c r="E86" s="6"/>
      <c r="F86" s="6"/>
      <c r="G86" s="6"/>
      <c r="H86" s="6"/>
      <c r="I86" s="6"/>
      <c r="J86" s="6"/>
      <c r="K86" s="7"/>
      <c r="L86" s="27"/>
      <c r="M86" s="7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</row>
    <row r="87" spans="1:37" ht="15">
      <c r="A87" s="8"/>
      <c r="B87" s="6"/>
      <c r="C87" s="6"/>
      <c r="D87" s="6"/>
      <c r="E87" s="6"/>
      <c r="F87" s="6"/>
      <c r="G87" s="6"/>
      <c r="H87" s="6"/>
      <c r="I87" s="6"/>
      <c r="J87" s="6"/>
      <c r="K87" s="7"/>
      <c r="L87" s="27"/>
      <c r="M87" s="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</row>
    <row r="88" spans="1:37" ht="15">
      <c r="A88" s="8"/>
      <c r="B88" s="6"/>
      <c r="C88" s="6"/>
      <c r="D88" s="6"/>
      <c r="E88" s="6"/>
      <c r="F88" s="6"/>
      <c r="G88" s="6"/>
      <c r="H88" s="6"/>
      <c r="I88" s="6"/>
      <c r="J88" s="6"/>
      <c r="K88" s="7"/>
      <c r="L88" s="27"/>
      <c r="M88" s="7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</row>
    <row r="89" spans="1:37" ht="15">
      <c r="A89" s="8"/>
      <c r="B89" s="6"/>
      <c r="C89" s="6"/>
      <c r="D89" s="6"/>
      <c r="E89" s="6"/>
      <c r="F89" s="6"/>
      <c r="G89" s="6"/>
      <c r="H89" s="6"/>
      <c r="I89" s="6"/>
      <c r="J89" s="6"/>
      <c r="K89" s="7"/>
      <c r="L89" s="27"/>
      <c r="M89" s="7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</row>
    <row r="90" spans="1:37" ht="15">
      <c r="A90" s="8"/>
      <c r="B90" s="6"/>
      <c r="C90" s="6"/>
      <c r="D90" s="6"/>
      <c r="E90" s="6"/>
      <c r="F90" s="6"/>
      <c r="G90" s="6"/>
      <c r="H90" s="6"/>
      <c r="I90" s="6"/>
      <c r="J90" s="6"/>
      <c r="K90" s="7"/>
      <c r="L90" s="27"/>
      <c r="M90" s="7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</row>
    <row r="91" spans="1:37" ht="15">
      <c r="A91" s="8"/>
      <c r="B91" s="6"/>
      <c r="C91" s="6"/>
      <c r="D91" s="6"/>
      <c r="E91" s="6"/>
      <c r="F91" s="6"/>
      <c r="G91" s="6"/>
      <c r="H91" s="6"/>
      <c r="I91" s="6"/>
      <c r="J91" s="6"/>
      <c r="K91" s="7"/>
      <c r="L91" s="27"/>
      <c r="M91" s="7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</row>
    <row r="92" spans="1:37" ht="15">
      <c r="A92" s="8"/>
      <c r="B92" s="6"/>
      <c r="C92" s="6"/>
      <c r="D92" s="6"/>
      <c r="E92" s="6"/>
      <c r="F92" s="6"/>
      <c r="G92" s="6"/>
      <c r="H92" s="6"/>
      <c r="I92" s="6"/>
      <c r="J92" s="6"/>
      <c r="K92" s="7"/>
      <c r="L92" s="27"/>
      <c r="M92" s="7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</row>
    <row r="93" spans="1:37" ht="15">
      <c r="A93" s="8"/>
      <c r="B93" s="6"/>
      <c r="C93" s="6"/>
      <c r="D93" s="6"/>
      <c r="E93" s="6"/>
      <c r="F93" s="6"/>
      <c r="G93" s="6"/>
      <c r="H93" s="6"/>
      <c r="I93" s="6"/>
      <c r="J93" s="6"/>
      <c r="K93" s="7"/>
      <c r="L93" s="27"/>
      <c r="M93" s="7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</row>
    <row r="94" spans="1:37" ht="15">
      <c r="A94" s="8"/>
      <c r="B94" s="6"/>
      <c r="C94" s="6"/>
      <c r="D94" s="6"/>
      <c r="E94" s="6"/>
      <c r="F94" s="6"/>
      <c r="G94" s="6"/>
      <c r="H94" s="6"/>
      <c r="I94" s="6"/>
      <c r="J94" s="6"/>
      <c r="K94" s="7"/>
      <c r="L94" s="27"/>
      <c r="M94" s="7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</row>
    <row r="95" spans="1:37" ht="15">
      <c r="A95" s="8"/>
      <c r="B95" s="6"/>
      <c r="C95" s="6"/>
      <c r="D95" s="6"/>
      <c r="E95" s="6"/>
      <c r="F95" s="6"/>
      <c r="G95" s="6"/>
      <c r="H95" s="6"/>
      <c r="I95" s="6"/>
      <c r="J95" s="6"/>
      <c r="K95" s="7"/>
      <c r="L95" s="27"/>
      <c r="M95" s="7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</row>
    <row r="96" spans="1:37" ht="15">
      <c r="A96" s="8"/>
      <c r="B96" s="6"/>
      <c r="C96" s="6"/>
      <c r="D96" s="6"/>
      <c r="E96" s="6"/>
      <c r="F96" s="6"/>
      <c r="G96" s="6"/>
      <c r="H96" s="6"/>
      <c r="I96" s="6"/>
      <c r="J96" s="6"/>
      <c r="K96" s="7"/>
      <c r="L96" s="27"/>
      <c r="M96" s="7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</row>
    <row r="97" spans="1:37" ht="15">
      <c r="A97" s="8"/>
      <c r="B97" s="6"/>
      <c r="C97" s="6"/>
      <c r="D97" s="6"/>
      <c r="E97" s="6"/>
      <c r="F97" s="6"/>
      <c r="G97" s="6"/>
      <c r="H97" s="6"/>
      <c r="I97" s="6"/>
      <c r="J97" s="6"/>
      <c r="K97" s="7"/>
      <c r="L97" s="27"/>
      <c r="M97" s="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</row>
    <row r="98" spans="1:37" ht="15">
      <c r="A98" s="8"/>
      <c r="B98" s="6"/>
      <c r="C98" s="6"/>
      <c r="D98" s="6"/>
      <c r="E98" s="6"/>
      <c r="F98" s="6"/>
      <c r="G98" s="6"/>
      <c r="H98" s="6"/>
      <c r="I98" s="6"/>
      <c r="J98" s="6"/>
      <c r="K98" s="7"/>
      <c r="L98" s="27"/>
      <c r="M98" s="7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</row>
    <row r="99" spans="1:37" ht="15">
      <c r="A99" s="8"/>
      <c r="B99" s="6"/>
      <c r="C99" s="6"/>
      <c r="D99" s="6"/>
      <c r="E99" s="6"/>
      <c r="F99" s="6"/>
      <c r="G99" s="6"/>
      <c r="H99" s="6"/>
      <c r="I99" s="6"/>
      <c r="J99" s="6"/>
      <c r="K99" s="7"/>
      <c r="L99" s="27"/>
      <c r="M99" s="7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</row>
    <row r="100" spans="1:37" ht="15">
      <c r="A100" s="8"/>
      <c r="B100" s="6"/>
      <c r="C100" s="6"/>
      <c r="D100" s="6"/>
      <c r="E100" s="6"/>
      <c r="F100" s="6"/>
      <c r="G100" s="6"/>
      <c r="H100" s="6"/>
      <c r="I100" s="6"/>
      <c r="J100" s="6"/>
      <c r="K100" s="7"/>
      <c r="L100" s="27"/>
      <c r="M100" s="7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</row>
    <row r="101" spans="1:37">
      <c r="A101" s="28"/>
      <c r="B101" s="29"/>
      <c r="C101" s="29"/>
      <c r="D101" s="28"/>
      <c r="E101" s="28"/>
      <c r="F101" s="28"/>
      <c r="G101" s="28"/>
      <c r="H101" s="28"/>
      <c r="I101" s="28"/>
      <c r="J101" s="28"/>
      <c r="L101" s="20"/>
    </row>
    <row r="102" spans="1:37">
      <c r="A102" s="20"/>
      <c r="B102" s="17"/>
      <c r="C102" s="17"/>
      <c r="D102" s="20"/>
      <c r="E102" s="20"/>
      <c r="F102" s="20"/>
      <c r="G102" s="20"/>
      <c r="H102" s="20"/>
      <c r="I102" s="20"/>
      <c r="J102" s="20"/>
      <c r="L102" s="20"/>
    </row>
    <row r="103" spans="1:37">
      <c r="A103" s="20"/>
      <c r="B103" s="17"/>
      <c r="C103" s="17"/>
      <c r="D103" s="20"/>
      <c r="E103" s="20"/>
      <c r="F103" s="20"/>
      <c r="G103" s="20"/>
      <c r="H103" s="20"/>
      <c r="I103" s="20"/>
      <c r="J103" s="20"/>
      <c r="L103" s="20"/>
    </row>
    <row r="104" spans="1:37">
      <c r="A104" s="20"/>
      <c r="B104" s="17"/>
      <c r="C104" s="17"/>
      <c r="D104" s="20"/>
      <c r="E104" s="20"/>
      <c r="F104" s="20"/>
      <c r="G104" s="20"/>
      <c r="H104" s="20"/>
      <c r="I104" s="20"/>
      <c r="J104" s="20"/>
      <c r="L104" s="20"/>
    </row>
    <row r="105" spans="1:37">
      <c r="A105" s="20"/>
      <c r="B105" s="17"/>
      <c r="C105" s="17"/>
      <c r="D105" s="20"/>
      <c r="E105" s="20"/>
      <c r="F105" s="20"/>
      <c r="G105" s="20"/>
      <c r="H105" s="20"/>
      <c r="I105" s="20"/>
      <c r="J105" s="20"/>
      <c r="L105" s="20"/>
    </row>
    <row r="106" spans="1:37">
      <c r="A106" s="20"/>
      <c r="B106" s="17"/>
      <c r="C106" s="17"/>
      <c r="D106" s="20"/>
      <c r="E106" s="20"/>
      <c r="F106" s="20"/>
      <c r="G106" s="20"/>
      <c r="H106" s="20"/>
      <c r="I106" s="20"/>
      <c r="J106" s="20"/>
      <c r="L106" s="20"/>
    </row>
    <row r="107" spans="1:37">
      <c r="A107" s="20"/>
      <c r="B107" s="17"/>
      <c r="C107" s="17"/>
      <c r="D107" s="20"/>
      <c r="E107" s="20"/>
      <c r="F107" s="20"/>
      <c r="G107" s="20"/>
      <c r="H107" s="20"/>
      <c r="I107" s="20"/>
      <c r="J107" s="20"/>
      <c r="L107" s="20"/>
    </row>
    <row r="108" spans="1:37">
      <c r="A108" s="20"/>
      <c r="B108" s="17"/>
      <c r="C108" s="17"/>
      <c r="D108" s="20"/>
      <c r="E108" s="20"/>
      <c r="F108" s="20"/>
      <c r="G108" s="20"/>
      <c r="H108" s="20"/>
      <c r="I108" s="20"/>
      <c r="J108" s="20"/>
      <c r="L108" s="20"/>
    </row>
    <row r="109" spans="1:37">
      <c r="A109" s="20"/>
      <c r="B109" s="17"/>
      <c r="C109" s="17"/>
      <c r="D109" s="20"/>
      <c r="E109" s="20"/>
      <c r="F109" s="20"/>
      <c r="G109" s="20"/>
      <c r="H109" s="20"/>
      <c r="I109" s="20"/>
      <c r="J109" s="20"/>
      <c r="L109" s="20"/>
    </row>
    <row r="110" spans="1:37">
      <c r="A110" s="20"/>
      <c r="B110" s="17"/>
      <c r="C110" s="17"/>
      <c r="D110" s="20"/>
      <c r="E110" s="20"/>
      <c r="F110" s="20"/>
      <c r="G110" s="20"/>
      <c r="H110" s="20"/>
      <c r="I110" s="20"/>
      <c r="J110" s="20"/>
      <c r="L110" s="20"/>
    </row>
    <row r="111" spans="1:37">
      <c r="A111" s="20"/>
      <c r="B111" s="17"/>
      <c r="C111" s="17"/>
      <c r="D111" s="20"/>
      <c r="E111" s="20"/>
      <c r="F111" s="20"/>
      <c r="G111" s="20"/>
      <c r="H111" s="20"/>
      <c r="I111" s="20"/>
      <c r="J111" s="20"/>
      <c r="L111" s="20"/>
    </row>
    <row r="112" spans="1:37">
      <c r="A112" s="20"/>
      <c r="B112" s="17"/>
      <c r="C112" s="17"/>
      <c r="D112" s="20"/>
      <c r="E112" s="20"/>
      <c r="F112" s="20"/>
      <c r="G112" s="20"/>
      <c r="H112" s="20"/>
      <c r="I112" s="20"/>
      <c r="J112" s="20"/>
      <c r="L112" s="20"/>
    </row>
    <row r="113" spans="1:12">
      <c r="A113" s="20"/>
      <c r="B113" s="17"/>
      <c r="C113" s="17"/>
      <c r="D113" s="20"/>
      <c r="E113" s="20"/>
      <c r="F113" s="20"/>
      <c r="G113" s="20"/>
      <c r="H113" s="20"/>
      <c r="I113" s="20"/>
      <c r="J113" s="20"/>
      <c r="L113" s="20"/>
    </row>
    <row r="114" spans="1:12">
      <c r="A114" s="20"/>
      <c r="B114" s="17"/>
      <c r="C114" s="17"/>
      <c r="D114" s="20"/>
      <c r="E114" s="20"/>
      <c r="F114" s="20"/>
      <c r="G114" s="20"/>
      <c r="H114" s="20"/>
      <c r="I114" s="20"/>
      <c r="J114" s="20"/>
      <c r="L114" s="20"/>
    </row>
    <row r="115" spans="1:12">
      <c r="A115" s="20"/>
      <c r="B115" s="17"/>
      <c r="C115" s="17"/>
      <c r="D115" s="20"/>
      <c r="E115" s="20"/>
      <c r="F115" s="20"/>
      <c r="G115" s="20"/>
      <c r="H115" s="20"/>
      <c r="I115" s="20"/>
      <c r="J115" s="20"/>
      <c r="L115" s="20"/>
    </row>
    <row r="116" spans="1:12">
      <c r="A116" s="20"/>
      <c r="B116" s="17"/>
      <c r="C116" s="17"/>
      <c r="D116" s="20"/>
      <c r="E116" s="20"/>
      <c r="F116" s="20"/>
      <c r="G116" s="20"/>
      <c r="H116" s="20"/>
      <c r="I116" s="20"/>
      <c r="J116" s="20"/>
      <c r="L116" s="20"/>
    </row>
    <row r="117" spans="1:12">
      <c r="A117" s="20"/>
      <c r="B117" s="17"/>
      <c r="C117" s="17"/>
      <c r="D117" s="20"/>
      <c r="E117" s="20"/>
      <c r="F117" s="20"/>
      <c r="G117" s="20"/>
      <c r="H117" s="20"/>
      <c r="I117" s="20"/>
      <c r="J117" s="20"/>
      <c r="L117" s="20"/>
    </row>
    <row r="118" spans="1:12">
      <c r="A118" s="20"/>
      <c r="B118" s="17"/>
      <c r="C118" s="17"/>
      <c r="D118" s="20"/>
      <c r="E118" s="20"/>
      <c r="F118" s="20"/>
      <c r="G118" s="20"/>
      <c r="H118" s="20"/>
      <c r="I118" s="20"/>
      <c r="J118" s="20"/>
      <c r="L118" s="20"/>
    </row>
    <row r="119" spans="1:12">
      <c r="A119" s="20"/>
      <c r="B119" s="17"/>
      <c r="C119" s="17"/>
      <c r="D119" s="20"/>
      <c r="E119" s="20"/>
      <c r="F119" s="20"/>
      <c r="G119" s="20"/>
      <c r="H119" s="20"/>
      <c r="I119" s="20"/>
      <c r="J119" s="20"/>
      <c r="L119" s="20"/>
    </row>
    <row r="120" spans="1:12">
      <c r="A120" s="20"/>
      <c r="B120" s="17"/>
      <c r="C120" s="17"/>
      <c r="D120" s="20"/>
      <c r="E120" s="20"/>
      <c r="F120" s="20"/>
      <c r="G120" s="20"/>
      <c r="H120" s="20"/>
      <c r="I120" s="20"/>
      <c r="J120" s="20"/>
      <c r="L120" s="20"/>
    </row>
    <row r="121" spans="1:12">
      <c r="A121" s="20"/>
      <c r="B121" s="17"/>
      <c r="C121" s="17"/>
      <c r="D121" s="20"/>
      <c r="E121" s="20"/>
      <c r="F121" s="20"/>
      <c r="G121" s="20"/>
      <c r="H121" s="20"/>
      <c r="I121" s="20"/>
      <c r="J121" s="20"/>
      <c r="L121" s="20"/>
    </row>
    <row r="122" spans="1:12">
      <c r="A122" s="20"/>
      <c r="B122" s="17"/>
      <c r="C122" s="17"/>
      <c r="D122" s="20"/>
      <c r="E122" s="20"/>
      <c r="F122" s="20"/>
      <c r="G122" s="20"/>
      <c r="H122" s="20"/>
      <c r="I122" s="20"/>
      <c r="J122" s="20"/>
      <c r="L122" s="20"/>
    </row>
    <row r="123" spans="1:12">
      <c r="A123" s="20"/>
      <c r="B123" s="17"/>
      <c r="C123" s="17"/>
      <c r="D123" s="20"/>
      <c r="E123" s="20"/>
      <c r="F123" s="20"/>
      <c r="G123" s="20"/>
      <c r="H123" s="20"/>
      <c r="I123" s="20"/>
      <c r="J123" s="20"/>
      <c r="L123" s="20"/>
    </row>
    <row r="124" spans="1:12">
      <c r="A124" s="20"/>
      <c r="B124" s="17"/>
      <c r="C124" s="17"/>
      <c r="D124" s="20"/>
      <c r="E124" s="20"/>
      <c r="F124" s="20"/>
      <c r="G124" s="20"/>
      <c r="H124" s="20"/>
      <c r="I124" s="20"/>
      <c r="J124" s="20"/>
      <c r="L124" s="20"/>
    </row>
    <row r="125" spans="1:12">
      <c r="A125" s="20"/>
      <c r="B125" s="17"/>
      <c r="C125" s="17"/>
      <c r="D125" s="20"/>
      <c r="E125" s="20"/>
      <c r="F125" s="20"/>
      <c r="G125" s="20"/>
      <c r="H125" s="20"/>
      <c r="I125" s="20"/>
      <c r="J125" s="20"/>
      <c r="L125" s="20"/>
    </row>
    <row r="126" spans="1:12">
      <c r="A126" s="20"/>
      <c r="B126" s="17"/>
      <c r="C126" s="17"/>
      <c r="D126" s="20"/>
      <c r="E126" s="20"/>
      <c r="F126" s="20"/>
      <c r="G126" s="20"/>
      <c r="H126" s="20"/>
      <c r="I126" s="20"/>
      <c r="J126" s="20"/>
      <c r="L126" s="20"/>
    </row>
    <row r="127" spans="1:12">
      <c r="A127" s="20"/>
      <c r="B127" s="17"/>
      <c r="C127" s="17"/>
      <c r="D127" s="20"/>
      <c r="E127" s="20"/>
      <c r="F127" s="20"/>
      <c r="G127" s="20"/>
      <c r="H127" s="20"/>
      <c r="I127" s="20"/>
      <c r="J127" s="20"/>
      <c r="L127" s="20"/>
    </row>
    <row r="128" spans="1:12">
      <c r="A128" s="20"/>
      <c r="B128" s="17"/>
      <c r="C128" s="17"/>
      <c r="D128" s="20"/>
      <c r="E128" s="20"/>
      <c r="F128" s="20"/>
      <c r="G128" s="20"/>
      <c r="H128" s="20"/>
      <c r="I128" s="20"/>
      <c r="J128" s="20"/>
      <c r="L128" s="20"/>
    </row>
    <row r="129" spans="1:12">
      <c r="A129" s="20"/>
      <c r="B129" s="17"/>
      <c r="C129" s="17"/>
      <c r="D129" s="20"/>
      <c r="E129" s="20"/>
      <c r="F129" s="20"/>
      <c r="G129" s="20"/>
      <c r="H129" s="20"/>
      <c r="I129" s="20"/>
      <c r="J129" s="20"/>
      <c r="L129" s="20"/>
    </row>
    <row r="130" spans="1:12">
      <c r="A130" s="20"/>
      <c r="B130" s="17"/>
      <c r="C130" s="17"/>
      <c r="D130" s="20"/>
      <c r="E130" s="20"/>
      <c r="F130" s="20"/>
      <c r="G130" s="20"/>
      <c r="H130" s="20"/>
      <c r="I130" s="20"/>
      <c r="J130" s="20"/>
      <c r="L130" s="20"/>
    </row>
    <row r="131" spans="1:12">
      <c r="A131" s="20"/>
      <c r="B131" s="17"/>
      <c r="C131" s="17"/>
      <c r="D131" s="20"/>
      <c r="E131" s="20"/>
      <c r="F131" s="20"/>
      <c r="G131" s="20"/>
      <c r="H131" s="20"/>
      <c r="I131" s="20"/>
      <c r="J131" s="20"/>
      <c r="L131" s="20"/>
    </row>
    <row r="132" spans="1:12">
      <c r="A132" s="20"/>
      <c r="B132" s="17"/>
      <c r="C132" s="17"/>
      <c r="D132" s="20"/>
      <c r="E132" s="20"/>
      <c r="F132" s="20"/>
      <c r="G132" s="20"/>
      <c r="H132" s="20"/>
      <c r="I132" s="20"/>
      <c r="J132" s="20"/>
      <c r="L132" s="20"/>
    </row>
    <row r="133" spans="1:12">
      <c r="A133" s="20"/>
      <c r="B133" s="17"/>
      <c r="C133" s="17"/>
      <c r="D133" s="20"/>
      <c r="E133" s="20"/>
      <c r="F133" s="20"/>
      <c r="G133" s="20"/>
      <c r="H133" s="20"/>
      <c r="I133" s="20"/>
      <c r="J133" s="20"/>
      <c r="L133" s="20"/>
    </row>
    <row r="134" spans="1:12">
      <c r="A134" s="20"/>
      <c r="B134" s="17"/>
      <c r="C134" s="17"/>
      <c r="D134" s="20"/>
      <c r="E134" s="20"/>
      <c r="F134" s="20"/>
      <c r="G134" s="20"/>
      <c r="H134" s="20"/>
      <c r="I134" s="20"/>
      <c r="J134" s="20"/>
      <c r="L134" s="20"/>
    </row>
    <row r="135" spans="1:12">
      <c r="A135" s="20"/>
      <c r="B135" s="17"/>
      <c r="C135" s="17"/>
      <c r="D135" s="20"/>
      <c r="E135" s="20"/>
      <c r="F135" s="20"/>
      <c r="G135" s="20"/>
      <c r="H135" s="20"/>
      <c r="I135" s="20"/>
      <c r="J135" s="20"/>
      <c r="L135" s="20"/>
    </row>
    <row r="136" spans="1:12">
      <c r="A136" s="20"/>
      <c r="B136" s="17"/>
      <c r="C136" s="17"/>
      <c r="D136" s="20"/>
      <c r="E136" s="20"/>
      <c r="F136" s="20"/>
      <c r="G136" s="20"/>
      <c r="H136" s="20"/>
      <c r="I136" s="20"/>
      <c r="J136" s="20"/>
      <c r="L136" s="20"/>
    </row>
    <row r="137" spans="1:12">
      <c r="A137" s="20"/>
      <c r="B137" s="17"/>
      <c r="C137" s="17"/>
      <c r="D137" s="20"/>
      <c r="E137" s="20"/>
      <c r="F137" s="20"/>
      <c r="G137" s="20"/>
      <c r="H137" s="20"/>
      <c r="I137" s="20"/>
      <c r="J137" s="20"/>
      <c r="L137" s="20"/>
    </row>
    <row r="138" spans="1:12">
      <c r="A138" s="20"/>
      <c r="B138" s="17"/>
      <c r="C138" s="17"/>
      <c r="D138" s="20"/>
      <c r="E138" s="20"/>
      <c r="F138" s="20"/>
      <c r="G138" s="20"/>
      <c r="H138" s="20"/>
      <c r="I138" s="20"/>
      <c r="J138" s="20"/>
      <c r="L138" s="20"/>
    </row>
    <row r="139" spans="1:12">
      <c r="A139" s="20"/>
      <c r="B139" s="17"/>
      <c r="C139" s="17"/>
      <c r="D139" s="20"/>
      <c r="E139" s="20"/>
      <c r="F139" s="20"/>
      <c r="G139" s="20"/>
      <c r="H139" s="20"/>
      <c r="I139" s="20"/>
      <c r="J139" s="20"/>
      <c r="L139" s="20"/>
    </row>
    <row r="140" spans="1:12">
      <c r="A140" s="20"/>
      <c r="B140" s="17"/>
      <c r="C140" s="17"/>
      <c r="D140" s="20"/>
      <c r="E140" s="20"/>
      <c r="F140" s="20"/>
      <c r="G140" s="20"/>
      <c r="H140" s="20"/>
      <c r="I140" s="20"/>
      <c r="J140" s="20"/>
      <c r="L140" s="20"/>
    </row>
    <row r="141" spans="1:12">
      <c r="A141" s="20"/>
      <c r="B141" s="17"/>
      <c r="C141" s="17"/>
      <c r="D141" s="20"/>
      <c r="E141" s="20"/>
      <c r="F141" s="20"/>
      <c r="G141" s="20"/>
      <c r="H141" s="20"/>
      <c r="I141" s="20"/>
      <c r="J141" s="20"/>
      <c r="L141" s="20"/>
    </row>
    <row r="142" spans="1:12">
      <c r="A142" s="20"/>
      <c r="B142" s="17"/>
      <c r="C142" s="17"/>
      <c r="D142" s="20"/>
      <c r="E142" s="20"/>
      <c r="F142" s="20"/>
      <c r="G142" s="20"/>
      <c r="H142" s="20"/>
      <c r="I142" s="20"/>
      <c r="J142" s="20"/>
      <c r="L142" s="20"/>
    </row>
    <row r="143" spans="1:12">
      <c r="A143" s="20"/>
      <c r="B143" s="17"/>
      <c r="C143" s="17"/>
      <c r="D143" s="20"/>
      <c r="E143" s="20"/>
      <c r="F143" s="20"/>
      <c r="G143" s="20"/>
      <c r="H143" s="20"/>
      <c r="I143" s="20"/>
      <c r="J143" s="20"/>
      <c r="L143" s="20"/>
    </row>
    <row r="144" spans="1:12">
      <c r="A144" s="20"/>
      <c r="B144" s="17"/>
      <c r="C144" s="17"/>
      <c r="D144" s="20"/>
      <c r="E144" s="20"/>
      <c r="F144" s="20"/>
      <c r="G144" s="20"/>
      <c r="H144" s="20"/>
      <c r="I144" s="20"/>
      <c r="J144" s="20"/>
      <c r="L144" s="20"/>
    </row>
    <row r="145" spans="1:12">
      <c r="A145" s="20"/>
      <c r="B145" s="17"/>
      <c r="C145" s="17"/>
      <c r="D145" s="20"/>
      <c r="E145" s="20"/>
      <c r="F145" s="20"/>
      <c r="G145" s="20"/>
      <c r="H145" s="20"/>
      <c r="I145" s="20"/>
      <c r="J145" s="20"/>
      <c r="L145" s="20"/>
    </row>
    <row r="146" spans="1:12">
      <c r="A146" s="20"/>
      <c r="B146" s="17"/>
      <c r="C146" s="17"/>
      <c r="D146" s="20"/>
      <c r="E146" s="20"/>
      <c r="F146" s="20"/>
      <c r="G146" s="20"/>
      <c r="H146" s="20"/>
      <c r="I146" s="20"/>
      <c r="J146" s="20"/>
      <c r="L146" s="20"/>
    </row>
    <row r="147" spans="1:12">
      <c r="A147" s="20"/>
      <c r="B147" s="17"/>
      <c r="C147" s="17"/>
      <c r="D147" s="20"/>
      <c r="E147" s="20"/>
      <c r="F147" s="20"/>
      <c r="G147" s="20"/>
      <c r="H147" s="20"/>
      <c r="I147" s="20"/>
      <c r="J147" s="20"/>
      <c r="L147" s="20"/>
    </row>
    <row r="148" spans="1:12">
      <c r="A148" s="20"/>
      <c r="B148" s="17"/>
      <c r="C148" s="17"/>
      <c r="D148" s="20"/>
      <c r="E148" s="20"/>
      <c r="F148" s="20"/>
      <c r="G148" s="20"/>
      <c r="H148" s="20"/>
      <c r="I148" s="20"/>
      <c r="J148" s="20"/>
      <c r="L148" s="20"/>
    </row>
    <row r="149" spans="1:12">
      <c r="A149" s="20"/>
      <c r="B149" s="17"/>
      <c r="C149" s="17"/>
      <c r="D149" s="20"/>
      <c r="E149" s="20"/>
      <c r="F149" s="20"/>
      <c r="G149" s="20"/>
      <c r="H149" s="20"/>
      <c r="I149" s="20"/>
      <c r="J149" s="20"/>
      <c r="L149" s="20"/>
    </row>
    <row r="150" spans="1:12">
      <c r="A150" s="20"/>
      <c r="B150" s="17"/>
      <c r="C150" s="17"/>
      <c r="D150" s="20"/>
      <c r="E150" s="20"/>
      <c r="F150" s="20"/>
      <c r="G150" s="20"/>
      <c r="H150" s="20"/>
      <c r="I150" s="20"/>
      <c r="J150" s="20"/>
      <c r="L150" s="20"/>
    </row>
    <row r="151" spans="1:12">
      <c r="A151" s="20"/>
      <c r="B151" s="17"/>
      <c r="C151" s="17"/>
      <c r="D151" s="20"/>
      <c r="E151" s="20"/>
      <c r="F151" s="20"/>
      <c r="G151" s="20"/>
      <c r="H151" s="20"/>
      <c r="I151" s="20"/>
      <c r="J151" s="20"/>
      <c r="L151" s="20"/>
    </row>
    <row r="152" spans="1:12">
      <c r="A152" s="20"/>
      <c r="B152" s="17"/>
      <c r="C152" s="17"/>
      <c r="D152" s="20"/>
      <c r="E152" s="20"/>
      <c r="F152" s="20"/>
      <c r="G152" s="20"/>
      <c r="H152" s="20"/>
      <c r="I152" s="20"/>
      <c r="J152" s="20"/>
      <c r="L152" s="20"/>
    </row>
    <row r="153" spans="1:12">
      <c r="A153" s="20"/>
      <c r="B153" s="17"/>
      <c r="C153" s="17"/>
      <c r="D153" s="20"/>
      <c r="E153" s="20"/>
      <c r="F153" s="20"/>
      <c r="G153" s="20"/>
      <c r="H153" s="20"/>
      <c r="I153" s="20"/>
      <c r="J153" s="20"/>
      <c r="L153" s="20"/>
    </row>
    <row r="154" spans="1:12">
      <c r="A154" s="20"/>
      <c r="B154" s="17"/>
      <c r="C154" s="17"/>
      <c r="D154" s="20"/>
      <c r="E154" s="20"/>
      <c r="F154" s="20"/>
      <c r="G154" s="20"/>
      <c r="H154" s="20"/>
      <c r="I154" s="20"/>
      <c r="J154" s="20"/>
      <c r="L154" s="20"/>
    </row>
    <row r="155" spans="1:12">
      <c r="A155" s="20"/>
      <c r="B155" s="17"/>
      <c r="C155" s="17"/>
      <c r="D155" s="20"/>
      <c r="E155" s="20"/>
      <c r="F155" s="20"/>
      <c r="G155" s="20"/>
      <c r="H155" s="20"/>
      <c r="I155" s="20"/>
      <c r="J155" s="20"/>
      <c r="L155" s="20"/>
    </row>
    <row r="156" spans="1:12">
      <c r="A156" s="20"/>
      <c r="B156" s="17"/>
      <c r="C156" s="17"/>
      <c r="D156" s="20"/>
      <c r="E156" s="20"/>
      <c r="F156" s="20"/>
      <c r="G156" s="20"/>
      <c r="H156" s="20"/>
      <c r="I156" s="20"/>
      <c r="J156" s="20"/>
      <c r="L156" s="20"/>
    </row>
    <row r="157" spans="1:12">
      <c r="A157" s="20"/>
      <c r="B157" s="17"/>
      <c r="C157" s="17"/>
      <c r="D157" s="20"/>
      <c r="E157" s="20"/>
      <c r="F157" s="20"/>
      <c r="G157" s="20"/>
      <c r="H157" s="20"/>
      <c r="I157" s="20"/>
      <c r="J157" s="20"/>
      <c r="L157" s="20"/>
    </row>
    <row r="158" spans="1:12">
      <c r="A158" s="20"/>
      <c r="B158" s="17"/>
      <c r="C158" s="17"/>
      <c r="D158" s="20"/>
      <c r="E158" s="20"/>
      <c r="F158" s="20"/>
      <c r="G158" s="20"/>
      <c r="H158" s="20"/>
      <c r="I158" s="20"/>
      <c r="J158" s="20"/>
      <c r="L158" s="20"/>
    </row>
    <row r="159" spans="1:12">
      <c r="A159" s="20"/>
      <c r="B159" s="17"/>
      <c r="C159" s="17"/>
      <c r="D159" s="20"/>
      <c r="E159" s="20"/>
      <c r="F159" s="20"/>
      <c r="G159" s="20"/>
      <c r="H159" s="20"/>
      <c r="I159" s="20"/>
      <c r="J159" s="20"/>
      <c r="L159" s="20"/>
    </row>
    <row r="160" spans="1:12">
      <c r="A160" s="20"/>
      <c r="B160" s="17"/>
      <c r="C160" s="17"/>
      <c r="D160" s="20"/>
      <c r="E160" s="20"/>
      <c r="F160" s="20"/>
      <c r="G160" s="20"/>
      <c r="H160" s="20"/>
      <c r="I160" s="20"/>
      <c r="J160" s="20"/>
      <c r="L160" s="20"/>
    </row>
    <row r="161" spans="1:12">
      <c r="A161" s="20"/>
      <c r="B161" s="17"/>
      <c r="C161" s="17"/>
      <c r="D161" s="20"/>
      <c r="E161" s="20"/>
      <c r="F161" s="20"/>
      <c r="G161" s="20"/>
      <c r="H161" s="20"/>
      <c r="I161" s="20"/>
      <c r="J161" s="20"/>
      <c r="L161" s="20"/>
    </row>
    <row r="162" spans="1:12">
      <c r="A162" s="20"/>
      <c r="B162" s="17"/>
      <c r="C162" s="17"/>
      <c r="D162" s="20"/>
      <c r="E162" s="20"/>
      <c r="F162" s="20"/>
      <c r="G162" s="20"/>
      <c r="H162" s="20"/>
      <c r="I162" s="20"/>
      <c r="J162" s="20"/>
      <c r="L162" s="20"/>
    </row>
    <row r="163" spans="1:12">
      <c r="A163" s="20"/>
      <c r="B163" s="17"/>
      <c r="C163" s="17"/>
      <c r="D163" s="20"/>
      <c r="E163" s="20"/>
      <c r="F163" s="20"/>
      <c r="G163" s="20"/>
      <c r="H163" s="20"/>
      <c r="I163" s="20"/>
      <c r="J163" s="20"/>
      <c r="L163" s="20"/>
    </row>
    <row r="164" spans="1:12">
      <c r="A164" s="20"/>
      <c r="B164" s="17"/>
      <c r="C164" s="17"/>
      <c r="D164" s="20"/>
      <c r="E164" s="20"/>
      <c r="F164" s="20"/>
      <c r="G164" s="20"/>
      <c r="H164" s="20"/>
      <c r="I164" s="20"/>
      <c r="J164" s="20"/>
      <c r="L164" s="20"/>
    </row>
    <row r="165" spans="1:12">
      <c r="A165" s="20"/>
      <c r="B165" s="17"/>
      <c r="C165" s="17"/>
      <c r="D165" s="20"/>
      <c r="E165" s="20"/>
      <c r="F165" s="20"/>
      <c r="G165" s="20"/>
      <c r="H165" s="20"/>
      <c r="I165" s="20"/>
      <c r="J165" s="20"/>
      <c r="L165" s="20"/>
    </row>
    <row r="166" spans="1:12">
      <c r="A166" s="20"/>
      <c r="B166" s="17"/>
      <c r="C166" s="17"/>
      <c r="D166" s="20"/>
      <c r="E166" s="20"/>
      <c r="F166" s="20"/>
      <c r="G166" s="20"/>
      <c r="H166" s="20"/>
      <c r="I166" s="20"/>
      <c r="J166" s="20"/>
      <c r="L166" s="20"/>
    </row>
    <row r="167" spans="1:12">
      <c r="A167" s="20"/>
      <c r="B167" s="17"/>
      <c r="C167" s="17"/>
      <c r="D167" s="20"/>
      <c r="E167" s="20"/>
      <c r="F167" s="20"/>
      <c r="G167" s="20"/>
      <c r="H167" s="20"/>
      <c r="I167" s="20"/>
      <c r="J167" s="20"/>
      <c r="L167" s="20"/>
    </row>
    <row r="168" spans="1:12">
      <c r="A168" s="20"/>
      <c r="B168" s="17"/>
      <c r="C168" s="17"/>
      <c r="D168" s="20"/>
      <c r="E168" s="20"/>
      <c r="F168" s="20"/>
      <c r="G168" s="20"/>
      <c r="H168" s="20"/>
      <c r="I168" s="20"/>
      <c r="J168" s="20"/>
      <c r="L168" s="20"/>
    </row>
    <row r="169" spans="1:12">
      <c r="A169" s="20"/>
      <c r="B169" s="17"/>
      <c r="C169" s="17"/>
      <c r="D169" s="20"/>
      <c r="E169" s="20"/>
      <c r="F169" s="20"/>
      <c r="G169" s="20"/>
      <c r="H169" s="20"/>
      <c r="I169" s="20"/>
      <c r="J169" s="20"/>
      <c r="L169" s="20"/>
    </row>
    <row r="170" spans="1:12">
      <c r="A170" s="20"/>
      <c r="B170" s="17"/>
      <c r="C170" s="17"/>
      <c r="D170" s="20"/>
      <c r="E170" s="20"/>
      <c r="F170" s="20"/>
      <c r="G170" s="20"/>
      <c r="H170" s="20"/>
      <c r="I170" s="20"/>
      <c r="J170" s="20"/>
      <c r="L170" s="20"/>
    </row>
    <row r="171" spans="1:12">
      <c r="A171" s="20"/>
      <c r="B171" s="17"/>
      <c r="C171" s="17"/>
      <c r="D171" s="20"/>
      <c r="E171" s="20"/>
      <c r="F171" s="20"/>
      <c r="G171" s="20"/>
      <c r="H171" s="20"/>
      <c r="I171" s="20"/>
      <c r="J171" s="20"/>
      <c r="L171" s="20"/>
    </row>
    <row r="172" spans="1:12">
      <c r="A172" s="20"/>
      <c r="B172" s="17"/>
      <c r="C172" s="17"/>
      <c r="D172" s="20"/>
      <c r="E172" s="20"/>
      <c r="F172" s="20"/>
      <c r="G172" s="20"/>
      <c r="H172" s="20"/>
      <c r="I172" s="20"/>
      <c r="J172" s="20"/>
      <c r="L172" s="20"/>
    </row>
    <row r="173" spans="1:12">
      <c r="A173" s="20"/>
      <c r="B173" s="17"/>
      <c r="C173" s="17"/>
      <c r="D173" s="20"/>
      <c r="E173" s="20"/>
      <c r="F173" s="20"/>
      <c r="G173" s="20"/>
      <c r="H173" s="20"/>
      <c r="I173" s="20"/>
      <c r="J173" s="20"/>
      <c r="L173" s="20"/>
    </row>
    <row r="174" spans="1:12">
      <c r="A174" s="20"/>
      <c r="B174" s="17"/>
      <c r="C174" s="17"/>
      <c r="D174" s="20"/>
      <c r="E174" s="20"/>
      <c r="F174" s="20"/>
      <c r="G174" s="20"/>
      <c r="H174" s="20"/>
      <c r="I174" s="20"/>
      <c r="J174" s="20"/>
      <c r="L174" s="20"/>
    </row>
    <row r="175" spans="1:12">
      <c r="A175" s="20"/>
      <c r="B175" s="17"/>
      <c r="C175" s="17"/>
      <c r="D175" s="20"/>
      <c r="E175" s="20"/>
      <c r="F175" s="20"/>
      <c r="G175" s="20"/>
      <c r="H175" s="20"/>
      <c r="I175" s="20"/>
      <c r="J175" s="20"/>
      <c r="L175" s="20"/>
    </row>
    <row r="176" spans="1:12">
      <c r="A176" s="20"/>
      <c r="B176" s="17"/>
      <c r="C176" s="17"/>
      <c r="D176" s="20"/>
      <c r="E176" s="20"/>
      <c r="F176" s="20"/>
      <c r="G176" s="20"/>
      <c r="H176" s="20"/>
      <c r="I176" s="20"/>
      <c r="J176" s="20"/>
      <c r="L176" s="20"/>
    </row>
    <row r="177" spans="1:12">
      <c r="A177" s="20"/>
      <c r="B177" s="17"/>
      <c r="C177" s="17"/>
      <c r="D177" s="20"/>
      <c r="E177" s="20"/>
      <c r="F177" s="20"/>
      <c r="G177" s="20"/>
      <c r="H177" s="20"/>
      <c r="I177" s="20"/>
      <c r="J177" s="20"/>
      <c r="L177" s="20"/>
    </row>
    <row r="178" spans="1:12">
      <c r="A178" s="20"/>
      <c r="B178" s="17"/>
      <c r="C178" s="17"/>
      <c r="D178" s="20"/>
      <c r="E178" s="20"/>
      <c r="F178" s="20"/>
      <c r="G178" s="20"/>
      <c r="H178" s="20"/>
      <c r="I178" s="20"/>
      <c r="J178" s="20"/>
      <c r="L178" s="20"/>
    </row>
    <row r="179" spans="1:12">
      <c r="A179" s="20"/>
      <c r="B179" s="17"/>
      <c r="C179" s="17"/>
      <c r="D179" s="20"/>
      <c r="E179" s="20"/>
      <c r="F179" s="20"/>
      <c r="G179" s="20"/>
      <c r="H179" s="20"/>
      <c r="I179" s="20"/>
      <c r="J179" s="20"/>
      <c r="L179" s="20"/>
    </row>
    <row r="180" spans="1:12">
      <c r="A180" s="20"/>
      <c r="B180" s="17"/>
      <c r="C180" s="17"/>
      <c r="D180" s="20"/>
      <c r="E180" s="20"/>
      <c r="F180" s="20"/>
      <c r="G180" s="20"/>
      <c r="H180" s="20"/>
      <c r="I180" s="20"/>
      <c r="J180" s="20"/>
      <c r="L180" s="20"/>
    </row>
    <row r="181" spans="1:12">
      <c r="A181" s="20"/>
      <c r="B181" s="17"/>
      <c r="C181" s="17"/>
      <c r="D181" s="20"/>
      <c r="E181" s="20"/>
      <c r="F181" s="20"/>
      <c r="G181" s="20"/>
      <c r="H181" s="20"/>
      <c r="I181" s="20"/>
      <c r="J181" s="20"/>
      <c r="L181" s="20"/>
    </row>
    <row r="182" spans="1:12">
      <c r="A182" s="20"/>
      <c r="B182" s="17"/>
      <c r="C182" s="17"/>
      <c r="D182" s="20"/>
      <c r="E182" s="20"/>
      <c r="F182" s="20"/>
      <c r="G182" s="20"/>
      <c r="H182" s="20"/>
      <c r="I182" s="20"/>
      <c r="J182" s="20"/>
      <c r="L182" s="20"/>
    </row>
    <row r="183" spans="1:12">
      <c r="A183" s="20"/>
      <c r="B183" s="17"/>
      <c r="C183" s="17"/>
      <c r="D183" s="20"/>
      <c r="E183" s="20"/>
      <c r="F183" s="20"/>
      <c r="G183" s="20"/>
      <c r="H183" s="20"/>
      <c r="I183" s="20"/>
      <c r="J183" s="20"/>
      <c r="L183" s="20"/>
    </row>
    <row r="184" spans="1:12">
      <c r="A184" s="20"/>
      <c r="B184" s="17"/>
      <c r="C184" s="17"/>
      <c r="D184" s="20"/>
      <c r="E184" s="20"/>
      <c r="F184" s="20"/>
      <c r="G184" s="20"/>
      <c r="H184" s="20"/>
      <c r="I184" s="20"/>
      <c r="J184" s="20"/>
      <c r="L184" s="20"/>
    </row>
    <row r="185" spans="1:12">
      <c r="A185" s="20"/>
      <c r="B185" s="17"/>
      <c r="C185" s="17"/>
      <c r="D185" s="20"/>
      <c r="E185" s="20"/>
      <c r="F185" s="20"/>
      <c r="G185" s="20"/>
      <c r="H185" s="20"/>
      <c r="I185" s="20"/>
      <c r="J185" s="20"/>
      <c r="L185" s="20"/>
    </row>
    <row r="186" spans="1:12">
      <c r="A186" s="20"/>
      <c r="B186" s="17"/>
      <c r="C186" s="17"/>
      <c r="D186" s="20"/>
      <c r="E186" s="20"/>
      <c r="F186" s="20"/>
      <c r="G186" s="20"/>
      <c r="H186" s="20"/>
      <c r="I186" s="20"/>
      <c r="J186" s="20"/>
      <c r="L186" s="20"/>
    </row>
    <row r="187" spans="1:12">
      <c r="A187" s="20"/>
      <c r="B187" s="17"/>
      <c r="C187" s="17"/>
      <c r="D187" s="20"/>
      <c r="E187" s="20"/>
      <c r="F187" s="20"/>
      <c r="G187" s="20"/>
      <c r="H187" s="20"/>
      <c r="I187" s="20"/>
      <c r="J187" s="20"/>
      <c r="L187" s="20"/>
    </row>
    <row r="188" spans="1:12">
      <c r="A188" s="20"/>
      <c r="B188" s="17"/>
      <c r="C188" s="17"/>
      <c r="D188" s="20"/>
      <c r="E188" s="20"/>
      <c r="F188" s="20"/>
      <c r="G188" s="20"/>
      <c r="H188" s="20"/>
      <c r="I188" s="20"/>
      <c r="J188" s="20"/>
      <c r="L188" s="20"/>
    </row>
    <row r="189" spans="1:12">
      <c r="A189" s="20"/>
      <c r="B189" s="17"/>
      <c r="C189" s="17"/>
      <c r="D189" s="20"/>
      <c r="E189" s="20"/>
      <c r="F189" s="20"/>
      <c r="G189" s="20"/>
      <c r="H189" s="20"/>
      <c r="I189" s="20"/>
      <c r="J189" s="20"/>
      <c r="L189" s="20"/>
    </row>
    <row r="190" spans="1:12">
      <c r="A190" s="20"/>
      <c r="B190" s="17"/>
      <c r="C190" s="17"/>
      <c r="D190" s="20"/>
      <c r="E190" s="20"/>
      <c r="F190" s="20"/>
      <c r="G190" s="20"/>
      <c r="H190" s="20"/>
      <c r="I190" s="20"/>
      <c r="J190" s="20"/>
      <c r="L190" s="20"/>
    </row>
    <row r="191" spans="1:12">
      <c r="A191" s="20"/>
      <c r="B191" s="17"/>
      <c r="C191" s="17"/>
      <c r="D191" s="20"/>
      <c r="E191" s="20"/>
      <c r="F191" s="20"/>
      <c r="G191" s="20"/>
      <c r="H191" s="20"/>
      <c r="I191" s="20"/>
      <c r="J191" s="20"/>
      <c r="L191" s="20"/>
    </row>
    <row r="192" spans="1:12">
      <c r="A192" s="20"/>
      <c r="B192" s="17"/>
      <c r="C192" s="17"/>
      <c r="D192" s="20"/>
      <c r="E192" s="20"/>
      <c r="F192" s="20"/>
      <c r="G192" s="20"/>
      <c r="H192" s="20"/>
      <c r="I192" s="20"/>
      <c r="J192" s="20"/>
      <c r="L192" s="20"/>
    </row>
    <row r="193" spans="1:12">
      <c r="A193" s="20"/>
      <c r="B193" s="17"/>
      <c r="C193" s="17"/>
      <c r="D193" s="20"/>
      <c r="E193" s="20"/>
      <c r="F193" s="20"/>
      <c r="G193" s="20"/>
      <c r="H193" s="20"/>
      <c r="I193" s="20"/>
      <c r="J193" s="20"/>
      <c r="L193" s="20"/>
    </row>
    <row r="194" spans="1:12">
      <c r="A194" s="20"/>
      <c r="B194" s="17"/>
      <c r="C194" s="17"/>
      <c r="D194" s="20"/>
      <c r="E194" s="20"/>
      <c r="F194" s="20"/>
      <c r="G194" s="20"/>
      <c r="H194" s="20"/>
      <c r="I194" s="20"/>
      <c r="J194" s="20"/>
      <c r="L194" s="20"/>
    </row>
    <row r="195" spans="1:12">
      <c r="A195" s="20"/>
      <c r="B195" s="17"/>
      <c r="C195" s="17"/>
      <c r="D195" s="20"/>
      <c r="E195" s="20"/>
      <c r="F195" s="20"/>
      <c r="G195" s="20"/>
      <c r="H195" s="20"/>
      <c r="I195" s="20"/>
      <c r="J195" s="20"/>
      <c r="L195" s="20"/>
    </row>
    <row r="196" spans="1:12">
      <c r="A196" s="20"/>
      <c r="B196" s="17"/>
      <c r="C196" s="17"/>
      <c r="D196" s="20"/>
      <c r="E196" s="20"/>
      <c r="F196" s="20"/>
      <c r="G196" s="20"/>
      <c r="H196" s="20"/>
      <c r="I196" s="20"/>
      <c r="J196" s="20"/>
      <c r="L196" s="20"/>
    </row>
    <row r="197" spans="1:12">
      <c r="A197" s="20"/>
      <c r="B197" s="17"/>
      <c r="C197" s="17"/>
      <c r="D197" s="20"/>
      <c r="E197" s="20"/>
      <c r="F197" s="20"/>
      <c r="G197" s="20"/>
      <c r="H197" s="20"/>
      <c r="I197" s="20"/>
      <c r="J197" s="20"/>
      <c r="L197" s="20"/>
    </row>
    <row r="198" spans="1:12">
      <c r="A198" s="20"/>
      <c r="B198" s="17"/>
      <c r="C198" s="17"/>
      <c r="D198" s="20"/>
      <c r="E198" s="20"/>
      <c r="F198" s="20"/>
      <c r="G198" s="20"/>
      <c r="H198" s="20"/>
      <c r="I198" s="20"/>
      <c r="J198" s="20"/>
      <c r="L198" s="20"/>
    </row>
    <row r="199" spans="1:12">
      <c r="A199" s="20"/>
      <c r="B199" s="17"/>
      <c r="C199" s="17"/>
      <c r="D199" s="20"/>
      <c r="E199" s="20"/>
      <c r="F199" s="20"/>
      <c r="G199" s="20"/>
      <c r="H199" s="20"/>
      <c r="I199" s="20"/>
      <c r="J199" s="20"/>
      <c r="L199" s="20"/>
    </row>
    <row r="200" spans="1:12">
      <c r="A200" s="20"/>
      <c r="B200" s="17"/>
      <c r="C200" s="17"/>
      <c r="D200" s="20"/>
      <c r="E200" s="20"/>
      <c r="F200" s="20"/>
      <c r="G200" s="20"/>
      <c r="H200" s="20"/>
      <c r="I200" s="20"/>
      <c r="J200" s="20"/>
      <c r="L200" s="20"/>
    </row>
    <row r="201" spans="1:12">
      <c r="A201" s="20"/>
      <c r="B201" s="17"/>
      <c r="C201" s="17"/>
      <c r="D201" s="20"/>
      <c r="E201" s="20"/>
      <c r="F201" s="20"/>
      <c r="G201" s="20"/>
      <c r="H201" s="20"/>
      <c r="I201" s="20"/>
      <c r="J201" s="20"/>
      <c r="L201" s="20"/>
    </row>
    <row r="202" spans="1:12">
      <c r="A202" s="20"/>
      <c r="B202" s="17"/>
      <c r="C202" s="17"/>
      <c r="D202" s="20"/>
      <c r="E202" s="20"/>
      <c r="F202" s="20"/>
      <c r="G202" s="20"/>
      <c r="H202" s="20"/>
      <c r="I202" s="20"/>
      <c r="J202" s="20"/>
    </row>
    <row r="203" spans="1:12">
      <c r="A203" s="20"/>
      <c r="B203" s="17"/>
      <c r="C203" s="17"/>
      <c r="D203" s="20"/>
      <c r="E203" s="20"/>
      <c r="F203" s="20"/>
      <c r="G203" s="20"/>
      <c r="H203" s="20"/>
      <c r="I203" s="20"/>
      <c r="J203" s="20"/>
    </row>
    <row r="204" spans="1:12">
      <c r="A204" s="20"/>
      <c r="B204" s="17"/>
      <c r="C204" s="17"/>
      <c r="D204" s="20"/>
      <c r="E204" s="20"/>
      <c r="F204" s="20"/>
      <c r="G204" s="20"/>
      <c r="H204" s="20"/>
      <c r="I204" s="20"/>
      <c r="J204" s="20"/>
    </row>
    <row r="205" spans="1:12">
      <c r="A205" s="20"/>
      <c r="B205" s="17"/>
      <c r="C205" s="17"/>
      <c r="D205" s="20"/>
      <c r="E205" s="20"/>
      <c r="F205" s="20"/>
      <c r="G205" s="20"/>
      <c r="H205" s="20"/>
      <c r="I205" s="20"/>
      <c r="J205" s="20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A19"/>
  <sheetViews>
    <sheetView workbookViewId="0">
      <selection activeCell="A19" sqref="A19"/>
    </sheetView>
  </sheetViews>
  <sheetFormatPr defaultRowHeight="15"/>
  <sheetData>
    <row r="1" spans="1:1">
      <c r="A1">
        <v>10</v>
      </c>
    </row>
    <row r="2" spans="1:1">
      <c r="A2">
        <v>15</v>
      </c>
    </row>
    <row r="3" spans="1:1">
      <c r="A3">
        <v>20</v>
      </c>
    </row>
    <row r="4" spans="1:1">
      <c r="A4">
        <v>25</v>
      </c>
    </row>
    <row r="5" spans="1:1">
      <c r="A5">
        <v>30</v>
      </c>
    </row>
    <row r="6" spans="1:1">
      <c r="A6">
        <v>35</v>
      </c>
    </row>
    <row r="7" spans="1:1">
      <c r="A7">
        <v>40</v>
      </c>
    </row>
    <row r="8" spans="1:1">
      <c r="A8">
        <v>45</v>
      </c>
    </row>
    <row r="9" spans="1:1">
      <c r="A9">
        <v>50</v>
      </c>
    </row>
    <row r="10" spans="1:1">
      <c r="A10">
        <v>55</v>
      </c>
    </row>
    <row r="11" spans="1:1">
      <c r="A11">
        <v>60</v>
      </c>
    </row>
    <row r="12" spans="1:1">
      <c r="A12">
        <v>65</v>
      </c>
    </row>
    <row r="13" spans="1:1">
      <c r="A13">
        <v>70</v>
      </c>
    </row>
    <row r="14" spans="1:1">
      <c r="A14">
        <v>75</v>
      </c>
    </row>
    <row r="15" spans="1:1">
      <c r="A15">
        <v>80</v>
      </c>
    </row>
    <row r="16" spans="1:1">
      <c r="A16">
        <v>85</v>
      </c>
    </row>
    <row r="17" spans="1:1">
      <c r="A17">
        <v>90</v>
      </c>
    </row>
    <row r="18" spans="1:1">
      <c r="A18">
        <v>95</v>
      </c>
    </row>
    <row r="19" spans="1:1">
      <c r="A19">
        <v>100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>
      <selection sqref="A1:XFD1048576"/>
    </sheetView>
  </sheetViews>
  <sheetFormatPr defaultRowHeight="15"/>
  <cols>
    <col min="4" max="4" width="9.7109375" bestFit="1" customWidth="1"/>
  </cols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B94EE3352496743B921E3D07E74133A" ma:contentTypeVersion="2" ma:contentTypeDescription="Create a new document." ma:contentTypeScope="" ma:versionID="e1a94481b8ba6af5b9bd27e0da02b3a7">
  <xsd:schema xmlns:xsd="http://www.w3.org/2001/XMLSchema" xmlns:xs="http://www.w3.org/2001/XMLSchema" xmlns:p="http://schemas.microsoft.com/office/2006/metadata/properties" xmlns:ns1="http://schemas.microsoft.com/sharepoint/v3" targetNamespace="http://schemas.microsoft.com/office/2006/metadata/properties" ma:root="true" ma:fieldsID="51d6e3086c2a381b4bac51d3e760fb4a" ns1:_="">
    <xsd:import namespace="http://schemas.microsoft.com/sharepoint/v3"/>
    <xsd:element name="properties">
      <xsd:complexType>
        <xsd:sequence>
          <xsd:element name="documentManagement">
            <xsd:complexType>
              <xsd:all>
                <xsd:element ref="ns1:AssignedTo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AssignedTo" ma:index="8" nillable="true" ma:displayName="Assigned To" ma:list="UserInfo" ma:internalName="AssignedTo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AssignedTo xmlns="http://schemas.microsoft.com/sharepoint/v3">
      <UserInfo>
        <DisplayName/>
        <AccountId xsi:nil="true"/>
        <AccountType/>
      </UserInfo>
    </AssignedTo>
  </documentManagement>
</p:properties>
</file>

<file path=customXml/itemProps1.xml><?xml version="1.0" encoding="utf-8"?>
<ds:datastoreItem xmlns:ds="http://schemas.openxmlformats.org/officeDocument/2006/customXml" ds:itemID="{76BE2316-E05D-40D2-85FF-B36981A639D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1ADA466-C4FB-4037-A030-77C63531728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FA3A4E5-1A94-4130-B9FE-20EB50027EB6}">
  <ds:schemaRefs>
    <ds:schemaRef ds:uri="http://www.w3.org/XML/1998/namespace"/>
    <ds:schemaRef ds:uri="http://schemas.microsoft.com/office/2006/documentManagement/types"/>
    <ds:schemaRef ds:uri="http://purl.org/dc/elements/1.1/"/>
    <ds:schemaRef ds:uri="http://purl.org/dc/terms/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http://schemas.microsoft.com/sharepoint/v3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PlotResult</vt:lpstr>
      <vt:lpstr>PlotsSheetSystem</vt:lpstr>
      <vt:lpstr>RiskLevelOptions</vt:lpstr>
      <vt:lpstr>TempData</vt:lpstr>
      <vt:lpstr>PlotResult!Print_Area</vt:lpstr>
    </vt:vector>
  </TitlesOfParts>
  <Company>Baker Hughes Incorporated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Baker Hughes Incorporated</dc:creator>
  <cp:lastModifiedBy>dell</cp:lastModifiedBy>
  <cp:lastPrinted>2014-09-24T16:11:30Z</cp:lastPrinted>
  <dcterms:created xsi:type="dcterms:W3CDTF">2014-07-29T16:43:28Z</dcterms:created>
  <dcterms:modified xsi:type="dcterms:W3CDTF">2017-08-18T02:54:46Z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0x0101006B94EE3352496743B921E3D07E74133A</vt:lpwstr>
  </property>
</Properties>
</file>